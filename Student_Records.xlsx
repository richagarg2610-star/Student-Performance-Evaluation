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5A8473F-8E14-4BE1-BDE5-09ED352DE850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Dashboard" sheetId="1" r:id="rId1"/>
    <sheet name="Students" sheetId="2" r:id="rId2"/>
    <sheet name="City Chart" sheetId="3" r:id="rId3"/>
    <sheet name="Marks Chart" sheetId="4" r:id="rId4"/>
    <sheet name="Subject Pass-Fail" sheetId="5" r:id="rId5"/>
    <sheet name="Toppers" sheetId="6" r:id="rId6"/>
  </sheets>
  <definedNames>
    <definedName name="_xlnm._FilterDatabase" localSheetId="1" hidden="1">Students!$A$4:$Q$104</definedName>
    <definedName name="_xlnm.Print_Titles" localSheetId="1">Students!$1:$4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6" l="1"/>
  <c r="C20" i="6"/>
  <c r="B20" i="6"/>
  <c r="D19" i="6"/>
  <c r="C19" i="6"/>
  <c r="B19" i="6"/>
  <c r="H15" i="6"/>
  <c r="G15" i="6"/>
  <c r="F15" i="6"/>
  <c r="D15" i="6"/>
  <c r="C15" i="6"/>
  <c r="B15" i="6"/>
  <c r="H14" i="6"/>
  <c r="G14" i="6"/>
  <c r="F14" i="6"/>
  <c r="D14" i="6"/>
  <c r="C14" i="6"/>
  <c r="B14" i="6"/>
  <c r="H10" i="6"/>
  <c r="G10" i="6"/>
  <c r="F10" i="6"/>
  <c r="D10" i="6"/>
  <c r="C10" i="6"/>
  <c r="B10" i="6"/>
  <c r="H9" i="6"/>
  <c r="G9" i="6"/>
  <c r="F9" i="6"/>
  <c r="D9" i="6"/>
  <c r="C9" i="6"/>
  <c r="B9" i="6"/>
  <c r="H5" i="6"/>
  <c r="G5" i="6"/>
  <c r="F5" i="6"/>
  <c r="H4" i="6"/>
  <c r="G4" i="6"/>
  <c r="F4" i="6"/>
  <c r="C9" i="5"/>
  <c r="E9" i="5" s="1"/>
  <c r="B9" i="5"/>
  <c r="D9" i="5" s="1"/>
  <c r="C8" i="5"/>
  <c r="E8" i="5" s="1"/>
  <c r="B8" i="5"/>
  <c r="D8" i="5" s="1"/>
  <c r="C7" i="5"/>
  <c r="E7" i="5" s="1"/>
  <c r="B7" i="5"/>
  <c r="D7" i="5" s="1"/>
  <c r="C6" i="5"/>
  <c r="E6" i="5" s="1"/>
  <c r="B6" i="5"/>
  <c r="D6" i="5" s="1"/>
  <c r="C5" i="5"/>
  <c r="E5" i="5" s="1"/>
  <c r="B5" i="5"/>
  <c r="D5" i="5" s="1"/>
  <c r="C4" i="5"/>
  <c r="E4" i="5" s="1"/>
  <c r="B4" i="5"/>
  <c r="D4" i="5" s="1"/>
  <c r="A31" i="3"/>
  <c r="A30" i="3"/>
  <c r="A29" i="3"/>
  <c r="A28" i="3"/>
  <c r="A27" i="3"/>
  <c r="A26" i="3"/>
  <c r="A25" i="3"/>
  <c r="A24" i="3"/>
  <c r="A23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O104" i="2"/>
  <c r="N104" i="2"/>
  <c r="P104" i="2" s="1"/>
  <c r="Q104" i="2" s="1"/>
  <c r="O103" i="2"/>
  <c r="N103" i="2"/>
  <c r="P103" i="2" s="1"/>
  <c r="Q103" i="2" s="1"/>
  <c r="O102" i="2"/>
  <c r="N102" i="2"/>
  <c r="O101" i="2"/>
  <c r="N101" i="2"/>
  <c r="P101" i="2" s="1"/>
  <c r="Q101" i="2" s="1"/>
  <c r="O100" i="2"/>
  <c r="N100" i="2"/>
  <c r="P100" i="2" s="1"/>
  <c r="Q100" i="2" s="1"/>
  <c r="O99" i="2"/>
  <c r="N99" i="2"/>
  <c r="P99" i="2" s="1"/>
  <c r="Q99" i="2" s="1"/>
  <c r="O98" i="2"/>
  <c r="N98" i="2"/>
  <c r="P98" i="2" s="1"/>
  <c r="Q98" i="2" s="1"/>
  <c r="O97" i="2"/>
  <c r="N97" i="2"/>
  <c r="P97" i="2" s="1"/>
  <c r="Q97" i="2" s="1"/>
  <c r="O96" i="2"/>
  <c r="N96" i="2"/>
  <c r="P96" i="2" s="1"/>
  <c r="Q96" i="2" s="1"/>
  <c r="O95" i="2"/>
  <c r="N95" i="2"/>
  <c r="P95" i="2" s="1"/>
  <c r="Q95" i="2" s="1"/>
  <c r="O94" i="2"/>
  <c r="N94" i="2"/>
  <c r="P94" i="2" s="1"/>
  <c r="Q94" i="2" s="1"/>
  <c r="O93" i="2"/>
  <c r="N93" i="2"/>
  <c r="P93" i="2" s="1"/>
  <c r="Q93" i="2" s="1"/>
  <c r="O92" i="2"/>
  <c r="N92" i="2"/>
  <c r="P92" i="2" s="1"/>
  <c r="Q92" i="2" s="1"/>
  <c r="O91" i="2"/>
  <c r="N91" i="2"/>
  <c r="P91" i="2" s="1"/>
  <c r="Q91" i="2" s="1"/>
  <c r="O90" i="2"/>
  <c r="N90" i="2"/>
  <c r="P90" i="2" s="1"/>
  <c r="Q90" i="2" s="1"/>
  <c r="O89" i="2"/>
  <c r="N89" i="2"/>
  <c r="P89" i="2" s="1"/>
  <c r="Q89" i="2" s="1"/>
  <c r="O88" i="2"/>
  <c r="N88" i="2"/>
  <c r="P88" i="2" s="1"/>
  <c r="Q88" i="2" s="1"/>
  <c r="O87" i="2"/>
  <c r="N87" i="2"/>
  <c r="P87" i="2" s="1"/>
  <c r="Q87" i="2" s="1"/>
  <c r="O86" i="2"/>
  <c r="N86" i="2"/>
  <c r="P86" i="2" s="1"/>
  <c r="Q86" i="2" s="1"/>
  <c r="O85" i="2"/>
  <c r="N85" i="2"/>
  <c r="P85" i="2" s="1"/>
  <c r="Q85" i="2" s="1"/>
  <c r="O84" i="2"/>
  <c r="N84" i="2"/>
  <c r="P84" i="2" s="1"/>
  <c r="Q84" i="2" s="1"/>
  <c r="O83" i="2"/>
  <c r="N83" i="2"/>
  <c r="P83" i="2" s="1"/>
  <c r="Q83" i="2" s="1"/>
  <c r="O82" i="2"/>
  <c r="N82" i="2"/>
  <c r="P82" i="2" s="1"/>
  <c r="Q82" i="2" s="1"/>
  <c r="O81" i="2"/>
  <c r="N81" i="2"/>
  <c r="P81" i="2" s="1"/>
  <c r="Q81" i="2" s="1"/>
  <c r="O80" i="2"/>
  <c r="N80" i="2"/>
  <c r="P80" i="2" s="1"/>
  <c r="Q80" i="2" s="1"/>
  <c r="O79" i="2"/>
  <c r="N79" i="2"/>
  <c r="P79" i="2" s="1"/>
  <c r="Q79" i="2" s="1"/>
  <c r="O78" i="2"/>
  <c r="N78" i="2"/>
  <c r="P78" i="2" s="1"/>
  <c r="Q78" i="2" s="1"/>
  <c r="O77" i="2"/>
  <c r="N77" i="2"/>
  <c r="P77" i="2" s="1"/>
  <c r="Q77" i="2" s="1"/>
  <c r="O76" i="2"/>
  <c r="N76" i="2"/>
  <c r="P76" i="2" s="1"/>
  <c r="Q76" i="2" s="1"/>
  <c r="O75" i="2"/>
  <c r="N75" i="2"/>
  <c r="P75" i="2" s="1"/>
  <c r="Q75" i="2" s="1"/>
  <c r="O74" i="2"/>
  <c r="N74" i="2"/>
  <c r="P74" i="2" s="1"/>
  <c r="Q74" i="2" s="1"/>
  <c r="O73" i="2"/>
  <c r="N73" i="2"/>
  <c r="P73" i="2" s="1"/>
  <c r="Q73" i="2" s="1"/>
  <c r="O72" i="2"/>
  <c r="N72" i="2"/>
  <c r="P72" i="2" s="1"/>
  <c r="Q72" i="2" s="1"/>
  <c r="O71" i="2"/>
  <c r="N71" i="2"/>
  <c r="P71" i="2" s="1"/>
  <c r="Q71" i="2" s="1"/>
  <c r="O70" i="2"/>
  <c r="N70" i="2"/>
  <c r="P70" i="2" s="1"/>
  <c r="Q70" i="2" s="1"/>
  <c r="O69" i="2"/>
  <c r="N69" i="2"/>
  <c r="P69" i="2" s="1"/>
  <c r="Q69" i="2" s="1"/>
  <c r="O68" i="2"/>
  <c r="N68" i="2"/>
  <c r="P68" i="2" s="1"/>
  <c r="Q68" i="2" s="1"/>
  <c r="O67" i="2"/>
  <c r="N67" i="2"/>
  <c r="P67" i="2" s="1"/>
  <c r="Q67" i="2" s="1"/>
  <c r="P66" i="2"/>
  <c r="Q66" i="2" s="1"/>
  <c r="O66" i="2"/>
  <c r="N66" i="2"/>
  <c r="O65" i="2"/>
  <c r="N65" i="2"/>
  <c r="P65" i="2" s="1"/>
  <c r="Q65" i="2" s="1"/>
  <c r="O64" i="2"/>
  <c r="N64" i="2"/>
  <c r="P64" i="2" s="1"/>
  <c r="Q64" i="2" s="1"/>
  <c r="O63" i="2"/>
  <c r="N63" i="2"/>
  <c r="P63" i="2" s="1"/>
  <c r="Q63" i="2" s="1"/>
  <c r="O62" i="2"/>
  <c r="N62" i="2"/>
  <c r="P62" i="2" s="1"/>
  <c r="Q62" i="2" s="1"/>
  <c r="O61" i="2"/>
  <c r="N61" i="2"/>
  <c r="P61" i="2" s="1"/>
  <c r="Q61" i="2" s="1"/>
  <c r="O60" i="2"/>
  <c r="N60" i="2"/>
  <c r="P60" i="2" s="1"/>
  <c r="Q60" i="2" s="1"/>
  <c r="O59" i="2"/>
  <c r="N59" i="2"/>
  <c r="P59" i="2" s="1"/>
  <c r="Q59" i="2" s="1"/>
  <c r="O58" i="2"/>
  <c r="N58" i="2"/>
  <c r="P58" i="2" s="1"/>
  <c r="Q58" i="2" s="1"/>
  <c r="O57" i="2"/>
  <c r="N57" i="2"/>
  <c r="P57" i="2" s="1"/>
  <c r="Q57" i="2" s="1"/>
  <c r="O56" i="2"/>
  <c r="N56" i="2"/>
  <c r="P56" i="2" s="1"/>
  <c r="Q56" i="2" s="1"/>
  <c r="O55" i="2"/>
  <c r="N55" i="2"/>
  <c r="P55" i="2" s="1"/>
  <c r="Q55" i="2" s="1"/>
  <c r="O54" i="2"/>
  <c r="N54" i="2"/>
  <c r="P54" i="2" s="1"/>
  <c r="Q54" i="2" s="1"/>
  <c r="O53" i="2"/>
  <c r="N53" i="2"/>
  <c r="P53" i="2" s="1"/>
  <c r="Q53" i="2" s="1"/>
  <c r="O52" i="2"/>
  <c r="N52" i="2"/>
  <c r="P52" i="2" s="1"/>
  <c r="Q52" i="2" s="1"/>
  <c r="O51" i="2"/>
  <c r="N51" i="2"/>
  <c r="P51" i="2" s="1"/>
  <c r="Q51" i="2" s="1"/>
  <c r="O50" i="2"/>
  <c r="N50" i="2"/>
  <c r="P50" i="2" s="1"/>
  <c r="Q50" i="2" s="1"/>
  <c r="O49" i="2"/>
  <c r="N49" i="2"/>
  <c r="P49" i="2" s="1"/>
  <c r="Q49" i="2" s="1"/>
  <c r="O48" i="2"/>
  <c r="N48" i="2"/>
  <c r="P48" i="2" s="1"/>
  <c r="Q48" i="2" s="1"/>
  <c r="O47" i="2"/>
  <c r="N47" i="2"/>
  <c r="P47" i="2" s="1"/>
  <c r="Q47" i="2" s="1"/>
  <c r="O46" i="2"/>
  <c r="N46" i="2"/>
  <c r="P46" i="2" s="1"/>
  <c r="Q46" i="2" s="1"/>
  <c r="O45" i="2"/>
  <c r="N45" i="2"/>
  <c r="P45" i="2" s="1"/>
  <c r="Q45" i="2" s="1"/>
  <c r="O44" i="2"/>
  <c r="N44" i="2"/>
  <c r="P44" i="2" s="1"/>
  <c r="Q44" i="2" s="1"/>
  <c r="O43" i="2"/>
  <c r="N43" i="2"/>
  <c r="P43" i="2" s="1"/>
  <c r="Q43" i="2" s="1"/>
  <c r="O42" i="2"/>
  <c r="N42" i="2"/>
  <c r="P42" i="2" s="1"/>
  <c r="Q42" i="2" s="1"/>
  <c r="O41" i="2"/>
  <c r="N41" i="2"/>
  <c r="P41" i="2" s="1"/>
  <c r="Q41" i="2" s="1"/>
  <c r="O40" i="2"/>
  <c r="N40" i="2"/>
  <c r="P40" i="2" s="1"/>
  <c r="Q40" i="2" s="1"/>
  <c r="O39" i="2"/>
  <c r="N39" i="2"/>
  <c r="P39" i="2" s="1"/>
  <c r="Q39" i="2" s="1"/>
  <c r="O38" i="2"/>
  <c r="N38" i="2"/>
  <c r="P38" i="2" s="1"/>
  <c r="Q38" i="2" s="1"/>
  <c r="O37" i="2"/>
  <c r="N37" i="2"/>
  <c r="P37" i="2" s="1"/>
  <c r="Q37" i="2" s="1"/>
  <c r="O36" i="2"/>
  <c r="N36" i="2"/>
  <c r="P36" i="2" s="1"/>
  <c r="Q36" i="2" s="1"/>
  <c r="O35" i="2"/>
  <c r="N35" i="2"/>
  <c r="P35" i="2" s="1"/>
  <c r="Q35" i="2" s="1"/>
  <c r="O34" i="2"/>
  <c r="N34" i="2"/>
  <c r="P34" i="2" s="1"/>
  <c r="Q34" i="2" s="1"/>
  <c r="O33" i="2"/>
  <c r="N33" i="2"/>
  <c r="P33" i="2" s="1"/>
  <c r="Q33" i="2" s="1"/>
  <c r="O32" i="2"/>
  <c r="N32" i="2"/>
  <c r="P32" i="2" s="1"/>
  <c r="Q32" i="2" s="1"/>
  <c r="O31" i="2"/>
  <c r="N31" i="2"/>
  <c r="P31" i="2" s="1"/>
  <c r="Q31" i="2" s="1"/>
  <c r="O30" i="2"/>
  <c r="N30" i="2"/>
  <c r="P30" i="2" s="1"/>
  <c r="Q30" i="2" s="1"/>
  <c r="O29" i="2"/>
  <c r="N29" i="2"/>
  <c r="P29" i="2" s="1"/>
  <c r="Q29" i="2" s="1"/>
  <c r="O28" i="2"/>
  <c r="N28" i="2"/>
  <c r="P28" i="2" s="1"/>
  <c r="Q28" i="2" s="1"/>
  <c r="O27" i="2"/>
  <c r="N27" i="2"/>
  <c r="P27" i="2" s="1"/>
  <c r="Q27" i="2" s="1"/>
  <c r="O26" i="2"/>
  <c r="N26" i="2"/>
  <c r="P26" i="2" s="1"/>
  <c r="Q26" i="2" s="1"/>
  <c r="O25" i="2"/>
  <c r="N25" i="2"/>
  <c r="P25" i="2" s="1"/>
  <c r="Q25" i="2" s="1"/>
  <c r="O24" i="2"/>
  <c r="N24" i="2"/>
  <c r="P24" i="2" s="1"/>
  <c r="Q24" i="2" s="1"/>
  <c r="O23" i="2"/>
  <c r="N23" i="2"/>
  <c r="P23" i="2" s="1"/>
  <c r="Q23" i="2" s="1"/>
  <c r="O22" i="2"/>
  <c r="N22" i="2"/>
  <c r="P22" i="2" s="1"/>
  <c r="Q22" i="2" s="1"/>
  <c r="O21" i="2"/>
  <c r="N21" i="2"/>
  <c r="P21" i="2" s="1"/>
  <c r="Q21" i="2" s="1"/>
  <c r="O20" i="2"/>
  <c r="N20" i="2"/>
  <c r="P20" i="2" s="1"/>
  <c r="Q20" i="2" s="1"/>
  <c r="O19" i="2"/>
  <c r="N19" i="2"/>
  <c r="P19" i="2" s="1"/>
  <c r="Q19" i="2" s="1"/>
  <c r="O18" i="2"/>
  <c r="N18" i="2"/>
  <c r="P18" i="2" s="1"/>
  <c r="Q18" i="2" s="1"/>
  <c r="O17" i="2"/>
  <c r="N17" i="2"/>
  <c r="P17" i="2" s="1"/>
  <c r="Q17" i="2" s="1"/>
  <c r="O16" i="2"/>
  <c r="N16" i="2"/>
  <c r="P16" i="2" s="1"/>
  <c r="Q16" i="2" s="1"/>
  <c r="O15" i="2"/>
  <c r="N15" i="2"/>
  <c r="P15" i="2" s="1"/>
  <c r="Q15" i="2" s="1"/>
  <c r="O14" i="2"/>
  <c r="N14" i="2"/>
  <c r="P14" i="2" s="1"/>
  <c r="Q14" i="2" s="1"/>
  <c r="O13" i="2"/>
  <c r="N13" i="2"/>
  <c r="P13" i="2" s="1"/>
  <c r="Q13" i="2" s="1"/>
  <c r="O12" i="2"/>
  <c r="N12" i="2"/>
  <c r="P12" i="2" s="1"/>
  <c r="Q12" i="2" s="1"/>
  <c r="O11" i="2"/>
  <c r="N11" i="2"/>
  <c r="P11" i="2" s="1"/>
  <c r="Q11" i="2" s="1"/>
  <c r="O10" i="2"/>
  <c r="N10" i="2"/>
  <c r="P10" i="2" s="1"/>
  <c r="Q10" i="2" s="1"/>
  <c r="O9" i="2"/>
  <c r="N9" i="2"/>
  <c r="P9" i="2" s="1"/>
  <c r="Q9" i="2" s="1"/>
  <c r="O8" i="2"/>
  <c r="N8" i="2"/>
  <c r="P8" i="2" s="1"/>
  <c r="Q8" i="2" s="1"/>
  <c r="O7" i="2"/>
  <c r="N7" i="2"/>
  <c r="P7" i="2" s="1"/>
  <c r="Q7" i="2" s="1"/>
  <c r="O6" i="2"/>
  <c r="N6" i="2"/>
  <c r="P6" i="2" s="1"/>
  <c r="Q6" i="2" s="1"/>
  <c r="O5" i="2"/>
  <c r="N5" i="2"/>
  <c r="P5" i="2" s="1"/>
  <c r="J25" i="1"/>
  <c r="J24" i="1"/>
  <c r="J23" i="1"/>
  <c r="J22" i="1"/>
  <c r="J21" i="1"/>
  <c r="J20" i="1"/>
  <c r="J19" i="1"/>
  <c r="J18" i="1"/>
  <c r="J17" i="1"/>
  <c r="J16" i="1"/>
  <c r="D16" i="1"/>
  <c r="C16" i="1"/>
  <c r="B16" i="1"/>
  <c r="J15" i="1"/>
  <c r="D15" i="1"/>
  <c r="C15" i="1"/>
  <c r="B15" i="1"/>
  <c r="J14" i="1"/>
  <c r="D14" i="1"/>
  <c r="C14" i="1"/>
  <c r="B14" i="1"/>
  <c r="J13" i="1"/>
  <c r="D13" i="1"/>
  <c r="C13" i="1"/>
  <c r="B13" i="1"/>
  <c r="J12" i="1"/>
  <c r="D12" i="1"/>
  <c r="C12" i="1"/>
  <c r="B12" i="1"/>
  <c r="J11" i="1"/>
  <c r="D11" i="1"/>
  <c r="C11" i="1"/>
  <c r="B11" i="1"/>
  <c r="A5" i="1"/>
  <c r="B30" i="3" l="1"/>
  <c r="B29" i="3"/>
  <c r="B28" i="3"/>
  <c r="B27" i="3"/>
  <c r="B26" i="3"/>
  <c r="B25" i="3"/>
  <c r="B24" i="3"/>
  <c r="B23" i="3"/>
  <c r="B19" i="3"/>
  <c r="C4" i="3"/>
  <c r="D4" i="6"/>
  <c r="B4" i="6"/>
  <c r="C5" i="6"/>
  <c r="D5" i="6"/>
  <c r="P102" i="2"/>
  <c r="B5" i="6"/>
  <c r="C4" i="6"/>
  <c r="Q5" i="2"/>
  <c r="C12" i="3" l="1"/>
  <c r="C13" i="3"/>
  <c r="C14" i="3"/>
  <c r="C15" i="3"/>
  <c r="C16" i="3"/>
  <c r="C17" i="3"/>
  <c r="C18" i="3"/>
  <c r="B31" i="3"/>
  <c r="B11" i="4"/>
  <c r="G5" i="1"/>
  <c r="G12" i="1"/>
  <c r="D5" i="1"/>
  <c r="B12" i="4"/>
  <c r="G11" i="1"/>
  <c r="C11" i="3"/>
  <c r="C10" i="3"/>
  <c r="C9" i="3"/>
  <c r="C8" i="3"/>
  <c r="C7" i="3"/>
  <c r="C6" i="3"/>
  <c r="C5" i="3"/>
  <c r="Q102" i="2"/>
  <c r="B4" i="4"/>
  <c r="B7" i="4"/>
  <c r="B6" i="4"/>
  <c r="J5" i="1"/>
  <c r="B5" i="4"/>
  <c r="B8" i="4" l="1"/>
  <c r="C4" i="4"/>
  <c r="C19" i="3"/>
  <c r="C7" i="4" l="1"/>
  <c r="C6" i="4"/>
  <c r="C12" i="4"/>
  <c r="C11" i="4"/>
  <c r="C5" i="4"/>
  <c r="C8" i="4" s="1"/>
</calcChain>
</file>

<file path=xl/sharedStrings.xml><?xml version="1.0" encoding="utf-8"?>
<sst xmlns="http://schemas.openxmlformats.org/spreadsheetml/2006/main" count="747" uniqueCount="557">
  <si>
    <t>STUDENT PERFORMANCE DASHBOARD</t>
  </si>
  <si>
    <t>Summary of the original 100 student records across six subjects</t>
  </si>
  <si>
    <t>TOTAL STUDENTS</t>
  </si>
  <si>
    <t>PASSING STUDENTS</t>
  </si>
  <si>
    <t>FAILING STUDENTS</t>
  </si>
  <si>
    <t>CLASS AVERAGE %</t>
  </si>
  <si>
    <t>SUBJECT PERFORMANCE</t>
  </si>
  <si>
    <t>RESULT DISTRIBUTION</t>
  </si>
  <si>
    <t>CITY DISTRIBUTION</t>
  </si>
  <si>
    <t>Subject</t>
  </si>
  <si>
    <t>Average Marks</t>
  </si>
  <si>
    <t>Pass Count</t>
  </si>
  <si>
    <t>Fail Count</t>
  </si>
  <si>
    <t>Result</t>
  </si>
  <si>
    <t>Students</t>
  </si>
  <si>
    <t>City</t>
  </si>
  <si>
    <t>Hindi</t>
  </si>
  <si>
    <t>Pass</t>
  </si>
  <si>
    <t>Agra</t>
  </si>
  <si>
    <t>English</t>
  </si>
  <si>
    <t>Fail</t>
  </si>
  <si>
    <t>Allahabad</t>
  </si>
  <si>
    <t>Mathematics</t>
  </si>
  <si>
    <t>Badaun</t>
  </si>
  <si>
    <t>Science</t>
  </si>
  <si>
    <t>Bareilly</t>
  </si>
  <si>
    <t>Social Science</t>
  </si>
  <si>
    <t>Gorakhpur</t>
  </si>
  <si>
    <t>Computer</t>
  </si>
  <si>
    <t>Hardoi</t>
  </si>
  <si>
    <t>Kanpur</t>
  </si>
  <si>
    <t>Lakhimpur</t>
  </si>
  <si>
    <t>Lucknow</t>
  </si>
  <si>
    <t>Meerut</t>
  </si>
  <si>
    <t>Moradabad</t>
  </si>
  <si>
    <t>Pilibhit</t>
  </si>
  <si>
    <t>Shahjahanpur</t>
  </si>
  <si>
    <t>Sitapur</t>
  </si>
  <si>
    <t>Varanasi</t>
  </si>
  <si>
    <t>STUDENT RESULT SHEET</t>
  </si>
  <si>
    <t>100 students  |  6 subjects  |  Each subject is out of 100 marks</t>
  </si>
  <si>
    <t>Above 90 marks = Green</t>
  </si>
  <si>
    <t>Below 30 marks = Red</t>
  </si>
  <si>
    <t>Fail = overall percentage below 30%</t>
  </si>
  <si>
    <t>STUDENT DETAILS</t>
  </si>
  <si>
    <t>MARKS (OUT OF 100)</t>
  </si>
  <si>
    <t>RESULT</t>
  </si>
  <si>
    <t>Serial No.</t>
  </si>
  <si>
    <t>Name</t>
  </si>
  <si>
    <t>Phone Number</t>
  </si>
  <si>
    <t>Email</t>
  </si>
  <si>
    <t>Father's Name</t>
  </si>
  <si>
    <t>Mother's Name</t>
  </si>
  <si>
    <t>Total</t>
  </si>
  <si>
    <t>Average</t>
  </si>
  <si>
    <t>Percentage</t>
  </si>
  <si>
    <t>Ananya Agarwal</t>
  </si>
  <si>
    <t>7321819600</t>
  </si>
  <si>
    <t>ananya.agarwal12@gmail.com</t>
  </si>
  <si>
    <t>Ghanshyam Agarwal</t>
  </si>
  <si>
    <t>Poonam Agarwal</t>
  </si>
  <si>
    <t>Ananya Mishra</t>
  </si>
  <si>
    <t>9542351161</t>
  </si>
  <si>
    <t>ananya.mishra46@gmail.com</t>
  </si>
  <si>
    <t>Mohan Mishra</t>
  </si>
  <si>
    <t>Usha Mishra</t>
  </si>
  <si>
    <t>Sakshi Chauhan</t>
  </si>
  <si>
    <t>7103413164</t>
  </si>
  <si>
    <t>sakshi.chauhan59@gmail.com</t>
  </si>
  <si>
    <t>Mahesh Chauhan</t>
  </si>
  <si>
    <t>Nirmala Chauhan</t>
  </si>
  <si>
    <t>Aditi Pandey</t>
  </si>
  <si>
    <t>7764835030</t>
  </si>
  <si>
    <t>aditi.pandey41@gmail.com</t>
  </si>
  <si>
    <t>Om Prakash Pandey</t>
  </si>
  <si>
    <t>Renu Pandey</t>
  </si>
  <si>
    <t>Ritu Kumar</t>
  </si>
  <si>
    <t>7423884969</t>
  </si>
  <si>
    <t>ritu.kumar52@gmail.com</t>
  </si>
  <si>
    <t>Rajesh Kumar</t>
  </si>
  <si>
    <t>Rekha Kumar</t>
  </si>
  <si>
    <t>Kajal Srivastava</t>
  </si>
  <si>
    <t>6669784801</t>
  </si>
  <si>
    <t>kajal.srivastava88@gmail.com</t>
  </si>
  <si>
    <t>Ramesh Srivastava</t>
  </si>
  <si>
    <t>Poonam Srivastava</t>
  </si>
  <si>
    <t>Aarti Mishra</t>
  </si>
  <si>
    <t>6489325288</t>
  </si>
  <si>
    <t>aarti.mishra1@gmail.com</t>
  </si>
  <si>
    <t>Suresh Mishra</t>
  </si>
  <si>
    <t>Sarita Mishra</t>
  </si>
  <si>
    <t>Neha Gupta</t>
  </si>
  <si>
    <t>9182278248</t>
  </si>
  <si>
    <t>neha.gupta78@gmail.com</t>
  </si>
  <si>
    <t>Shyam Gupta</t>
  </si>
  <si>
    <t>Radha Gupta</t>
  </si>
  <si>
    <t>Amit Gupta</t>
  </si>
  <si>
    <t>8098393010</t>
  </si>
  <si>
    <t>amit.gupta30@gmail.com</t>
  </si>
  <si>
    <t>Om Prakash Gupta</t>
  </si>
  <si>
    <t>Anita Gupta</t>
  </si>
  <si>
    <t>Preeti Rastogi</t>
  </si>
  <si>
    <t>9376311656</t>
  </si>
  <si>
    <t>preeti.rastogi53@gmail.com</t>
  </si>
  <si>
    <t>Rajesh Rastogi</t>
  </si>
  <si>
    <t>Sarita Rastogi</t>
  </si>
  <si>
    <t>Sachin Kumar</t>
  </si>
  <si>
    <t>7624731781</t>
  </si>
  <si>
    <t>sachin.kumar7@gmail.com</t>
  </si>
  <si>
    <t>Anil Kumar</t>
  </si>
  <si>
    <t>Renu Kumar</t>
  </si>
  <si>
    <t>Riya Joshi</t>
  </si>
  <si>
    <t>6647468723</t>
  </si>
  <si>
    <t>riya.joshi38@gmail.com</t>
  </si>
  <si>
    <t>Om Prakash Joshi</t>
  </si>
  <si>
    <t>Kiran Joshi</t>
  </si>
  <si>
    <t>Tanvi Mishra</t>
  </si>
  <si>
    <t>6812191361</t>
  </si>
  <si>
    <t>tanvi.mishra73@gmail.com</t>
  </si>
  <si>
    <t>Prakash Mishra</t>
  </si>
  <si>
    <t>Rohan Saxena</t>
  </si>
  <si>
    <t>9510799118</t>
  </si>
  <si>
    <t>rohan.saxena28@gmail.com</t>
  </si>
  <si>
    <t>Mukesh Saxena</t>
  </si>
  <si>
    <t>Radha Saxena</t>
  </si>
  <si>
    <t>Muskan Saxena</t>
  </si>
  <si>
    <t>6841241182</t>
  </si>
  <si>
    <t>muskan.saxena35@gmail.com</t>
  </si>
  <si>
    <t>Suresh Saxena</t>
  </si>
  <si>
    <t>Seema Saxena</t>
  </si>
  <si>
    <t>Divya Verma</t>
  </si>
  <si>
    <t>6524278680</t>
  </si>
  <si>
    <t>divya.verma15@gmail.com</t>
  </si>
  <si>
    <t>Suresh Verma</t>
  </si>
  <si>
    <t>Usha Verma</t>
  </si>
  <si>
    <t>Vivaan Chauhan</t>
  </si>
  <si>
    <t>7315869232</t>
  </si>
  <si>
    <t>vivaan.chauhan23@gmail.com</t>
  </si>
  <si>
    <t>Mukesh Chauhan</t>
  </si>
  <si>
    <t>Meena Chauhan</t>
  </si>
  <si>
    <t>Vivaan Maurya</t>
  </si>
  <si>
    <t>7375433036</t>
  </si>
  <si>
    <t>vivaan.maurya43@gmail.com</t>
  </si>
  <si>
    <t>Rajesh Maurya</t>
  </si>
  <si>
    <t>Poonam Maurya</t>
  </si>
  <si>
    <t>Vikram Verma</t>
  </si>
  <si>
    <t>6965569816</t>
  </si>
  <si>
    <t>vikram.verma74@gmail.com</t>
  </si>
  <si>
    <t>Jitendra Verma</t>
  </si>
  <si>
    <t>Seema Verma</t>
  </si>
  <si>
    <t>Simran Bajpai</t>
  </si>
  <si>
    <t>8148465648</t>
  </si>
  <si>
    <t>simran.bajpai17@gmail.com</t>
  </si>
  <si>
    <t>Ramesh Bajpai</t>
  </si>
  <si>
    <t>Usha Bajpai</t>
  </si>
  <si>
    <t>Harsh Rastogi</t>
  </si>
  <si>
    <t>8777387214</t>
  </si>
  <si>
    <t>harsh.rastogi66@gmail.com</t>
  </si>
  <si>
    <t>Ramesh Rastogi</t>
  </si>
  <si>
    <t>Geeta Rastogi</t>
  </si>
  <si>
    <t>Ankit Bajpai</t>
  </si>
  <si>
    <t>6769367632</t>
  </si>
  <si>
    <t>ankit.bajpai84@gmail.com</t>
  </si>
  <si>
    <t>Mohan Bajpai</t>
  </si>
  <si>
    <t>Sarita Bajpai</t>
  </si>
  <si>
    <t>Pooja Kumar</t>
  </si>
  <si>
    <t>7788957986</t>
  </si>
  <si>
    <t>pooja.kumar71@gmail.com</t>
  </si>
  <si>
    <t>Vinod Kumar</t>
  </si>
  <si>
    <t>Kiran Kumar</t>
  </si>
  <si>
    <t>Amit Agarwal</t>
  </si>
  <si>
    <t>9143455812</t>
  </si>
  <si>
    <t>amit.agarwal20@gmail.com</t>
  </si>
  <si>
    <t>Prakash Agarwal</t>
  </si>
  <si>
    <t>Lata Agarwal</t>
  </si>
  <si>
    <t>Vivaan Tiwari</t>
  </si>
  <si>
    <t>9690967054</t>
  </si>
  <si>
    <t>vivaan.tiwari97@gmail.com</t>
  </si>
  <si>
    <t>Om Prakash Tiwari</t>
  </si>
  <si>
    <t>Sunita Tiwari</t>
  </si>
  <si>
    <t>Akash Joshi</t>
  </si>
  <si>
    <t>7729806990</t>
  </si>
  <si>
    <t>akash.joshi11@gmail.com</t>
  </si>
  <si>
    <t>Prakash Joshi</t>
  </si>
  <si>
    <t>Anita Joshi</t>
  </si>
  <si>
    <t>Manish Joshi</t>
  </si>
  <si>
    <t>8641708053</t>
  </si>
  <si>
    <t>manish.joshi84@gmail.com</t>
  </si>
  <si>
    <t>Dinesh Joshi</t>
  </si>
  <si>
    <t>Sarita Joshi</t>
  </si>
  <si>
    <t>Akash Singh</t>
  </si>
  <si>
    <t>7745299124</t>
  </si>
  <si>
    <t>akash.singh14@gmail.com</t>
  </si>
  <si>
    <t>Sunil Singh</t>
  </si>
  <si>
    <t>Meena Singh</t>
  </si>
  <si>
    <t>Shruti Bajpai</t>
  </si>
  <si>
    <t>6905865185</t>
  </si>
  <si>
    <t>shruti.bajpai2@gmail.com</t>
  </si>
  <si>
    <t>Dinesh Bajpai</t>
  </si>
  <si>
    <t>Mamta Bajpai</t>
  </si>
  <si>
    <t>Mohit Agarwal</t>
  </si>
  <si>
    <t>9769453147</t>
  </si>
  <si>
    <t>mohit.agarwal32@gmail.com</t>
  </si>
  <si>
    <t>Om Prakash Agarwal</t>
  </si>
  <si>
    <t>Anita Agarwal</t>
  </si>
  <si>
    <t>Vikram Rathore</t>
  </si>
  <si>
    <t>8948083136</t>
  </si>
  <si>
    <t>vikram.rathore63@gmail.com</t>
  </si>
  <si>
    <t>Sunil Rathore</t>
  </si>
  <si>
    <t>Renu Rathore</t>
  </si>
  <si>
    <t>Shruti Rastogi</t>
  </si>
  <si>
    <t>8788568557</t>
  </si>
  <si>
    <t>shruti.rastogi35@gmail.com</t>
  </si>
  <si>
    <t>Mohan Rastogi</t>
  </si>
  <si>
    <t>Kavita Rastogi</t>
  </si>
  <si>
    <t>Suresh Maurya</t>
  </si>
  <si>
    <t>8989413435</t>
  </si>
  <si>
    <t>suresh.maurya23@gmail.com</t>
  </si>
  <si>
    <t>Manoj Maurya</t>
  </si>
  <si>
    <t>Rekha Maurya</t>
  </si>
  <si>
    <t>Aarti Maurya</t>
  </si>
  <si>
    <t>6094777520</t>
  </si>
  <si>
    <t>aarti.maurya33@gmail.com</t>
  </si>
  <si>
    <t>Pankaj Saxena</t>
  </si>
  <si>
    <t>6318699938</t>
  </si>
  <si>
    <t>pankaj.saxena49@gmail.com</t>
  </si>
  <si>
    <t>Rajesh Saxena</t>
  </si>
  <si>
    <t>Anita Saxena</t>
  </si>
  <si>
    <t>Divya Gupta</t>
  </si>
  <si>
    <t>7328120679</t>
  </si>
  <si>
    <t>divya.gupta61@gmail.com</t>
  </si>
  <si>
    <t>Sunil Gupta</t>
  </si>
  <si>
    <t>Poonam Gupta</t>
  </si>
  <si>
    <t>Ritu Rastogi</t>
  </si>
  <si>
    <t>7618324210</t>
  </si>
  <si>
    <t>ritu.rastogi22@gmail.com</t>
  </si>
  <si>
    <t>Ashok Rastogi</t>
  </si>
  <si>
    <t>Poonam Rastogi</t>
  </si>
  <si>
    <t>Komal Kumar</t>
  </si>
  <si>
    <t>6906594013</t>
  </si>
  <si>
    <t>komal.kumar87@gmail.com</t>
  </si>
  <si>
    <t>Kavita Kumar</t>
  </si>
  <si>
    <t>Megha Maurya</t>
  </si>
  <si>
    <t>6756551256</t>
  </si>
  <si>
    <t>megha.maurya89@gmail.com</t>
  </si>
  <si>
    <t>Vinod Maurya</t>
  </si>
  <si>
    <t>Sushila Maurya</t>
  </si>
  <si>
    <t>Ajay Joshi</t>
  </si>
  <si>
    <t>6876038597</t>
  </si>
  <si>
    <t>ajay.joshi81@gmail.com</t>
  </si>
  <si>
    <t>Meena Joshi</t>
  </si>
  <si>
    <t>Shivam Bajpai</t>
  </si>
  <si>
    <t>7248086131</t>
  </si>
  <si>
    <t>shivam.bajpai60@gmail.com</t>
  </si>
  <si>
    <t>Om Prakash Bajpai</t>
  </si>
  <si>
    <t>Shanti Bajpai</t>
  </si>
  <si>
    <t>Sachin Yadav</t>
  </si>
  <si>
    <t>9398214658</t>
  </si>
  <si>
    <t>sachin.yadav35@gmail.com</t>
  </si>
  <si>
    <t>Om Prakash Yadav</t>
  </si>
  <si>
    <t>Savita Yadav</t>
  </si>
  <si>
    <t>Ajay Shukla</t>
  </si>
  <si>
    <t>9753396360</t>
  </si>
  <si>
    <t>ajay.shukla41@gmail.com</t>
  </si>
  <si>
    <t>Shyam Shukla</t>
  </si>
  <si>
    <t>Pushpa Shukla</t>
  </si>
  <si>
    <t>Arjun Kumar</t>
  </si>
  <si>
    <t>6870262174</t>
  </si>
  <si>
    <t>arjun.kumar44@gmail.com</t>
  </si>
  <si>
    <t>Mohan Kumar</t>
  </si>
  <si>
    <t>Geeta Kumar</t>
  </si>
  <si>
    <t>Anjali Saxena</t>
  </si>
  <si>
    <t>7161172400</t>
  </si>
  <si>
    <t>anjali.saxena42@gmail.com</t>
  </si>
  <si>
    <t>Shyam Saxena</t>
  </si>
  <si>
    <t>Mamta Saxena</t>
  </si>
  <si>
    <t>Riya Mishra</t>
  </si>
  <si>
    <t>7196937923</t>
  </si>
  <si>
    <t>riya.mishra60@gmail.com</t>
  </si>
  <si>
    <t>Kavita Mishra</t>
  </si>
  <si>
    <t>Deepak Rastogi</t>
  </si>
  <si>
    <t>8647436713</t>
  </si>
  <si>
    <t>deepak.rastogi49@gmail.com</t>
  </si>
  <si>
    <t>Ghanshyam Rastogi</t>
  </si>
  <si>
    <t>Preeti Maurya</t>
  </si>
  <si>
    <t>8395339421</t>
  </si>
  <si>
    <t>preeti.maurya81@gmail.com</t>
  </si>
  <si>
    <t>Riya Tiwari</t>
  </si>
  <si>
    <t>7858842474</t>
  </si>
  <si>
    <t>riya.tiwari96@gmail.com</t>
  </si>
  <si>
    <t>Ashok Tiwari</t>
  </si>
  <si>
    <t>Lata Tiwari</t>
  </si>
  <si>
    <t>Nikhil Sharma</t>
  </si>
  <si>
    <t>8817549651</t>
  </si>
  <si>
    <t>nikhil.sharma87@gmail.com</t>
  </si>
  <si>
    <t>Naresh Sharma</t>
  </si>
  <si>
    <t>Usha Sharma</t>
  </si>
  <si>
    <t>Pooja Yadav</t>
  </si>
  <si>
    <t>6047113826</t>
  </si>
  <si>
    <t>pooja.yadav59@gmail.com</t>
  </si>
  <si>
    <t>Jitendra Yadav</t>
  </si>
  <si>
    <t>Poonam Yadav</t>
  </si>
  <si>
    <t>Deepak Tiwari</t>
  </si>
  <si>
    <t>9735158506</t>
  </si>
  <si>
    <t>deepak.tiwari36@gmail.com</t>
  </si>
  <si>
    <t>Prakash Tiwari</t>
  </si>
  <si>
    <t>Sarita Tiwari</t>
  </si>
  <si>
    <t>Payal Tiwari</t>
  </si>
  <si>
    <t>6839335290</t>
  </si>
  <si>
    <t>payal.tiwari36@gmail.com</t>
  </si>
  <si>
    <t>Ramesh Tiwari</t>
  </si>
  <si>
    <t>Savita Tiwari</t>
  </si>
  <si>
    <t>Anjali Rastogi</t>
  </si>
  <si>
    <t>8024026811</t>
  </si>
  <si>
    <t>anjali.rastogi61@gmail.com</t>
  </si>
  <si>
    <t>Shyam Rastogi</t>
  </si>
  <si>
    <t>Usha Rastogi</t>
  </si>
  <si>
    <t>Aarav Verma</t>
  </si>
  <si>
    <t>9661771159</t>
  </si>
  <si>
    <t>aarav.verma19@gmail.com</t>
  </si>
  <si>
    <t>Shyam Verma</t>
  </si>
  <si>
    <t>Nirmala Verma</t>
  </si>
  <si>
    <t>Ravi Singh</t>
  </si>
  <si>
    <t>7673657661</t>
  </si>
  <si>
    <t>ravi.singh41@gmail.com</t>
  </si>
  <si>
    <t>Mahesh Singh</t>
  </si>
  <si>
    <t>Seema Singh</t>
  </si>
  <si>
    <t>Arjun Chauhan</t>
  </si>
  <si>
    <t>7809885165</t>
  </si>
  <si>
    <t>arjun.chauhan86@gmail.com</t>
  </si>
  <si>
    <t>Shyam Chauhan</t>
  </si>
  <si>
    <t>Anita Chauhan</t>
  </si>
  <si>
    <t>Ankit Pandey</t>
  </si>
  <si>
    <t>6585149368</t>
  </si>
  <si>
    <t>ankit.pandey99@gmail.com</t>
  </si>
  <si>
    <t>Prakash Pandey</t>
  </si>
  <si>
    <t>Savita Pandey</t>
  </si>
  <si>
    <t>Rohan Rastogi</t>
  </si>
  <si>
    <t>9120183667</t>
  </si>
  <si>
    <t>rohan.rastogi44@gmail.com</t>
  </si>
  <si>
    <t>Mukesh Rastogi</t>
  </si>
  <si>
    <t>Nirmala Rastogi</t>
  </si>
  <si>
    <t>Aditya Agarwal</t>
  </si>
  <si>
    <t>9679764381</t>
  </si>
  <si>
    <t>aditya.agarwal45@gmail.com</t>
  </si>
  <si>
    <t>Ashok Agarwal</t>
  </si>
  <si>
    <t>Nirmala Agarwal</t>
  </si>
  <si>
    <t>Rahul Saxena</t>
  </si>
  <si>
    <t>7244510762</t>
  </si>
  <si>
    <t>rahul.saxena17@gmail.com</t>
  </si>
  <si>
    <t>Ramesh Saxena</t>
  </si>
  <si>
    <t>Simran Rastogi</t>
  </si>
  <si>
    <t>9966416052</t>
  </si>
  <si>
    <t>simran.rastogi80@gmail.com</t>
  </si>
  <si>
    <t>Renu Rastogi</t>
  </si>
  <si>
    <t>Isha Saxena</t>
  </si>
  <si>
    <t>8352181883</t>
  </si>
  <si>
    <t>isha.saxena45@gmail.com</t>
  </si>
  <si>
    <t>Nirmala Saxena</t>
  </si>
  <si>
    <t>Ajay Gupta</t>
  </si>
  <si>
    <t>7779979955</t>
  </si>
  <si>
    <t>ajay.gupta20@gmail.com</t>
  </si>
  <si>
    <t>Suresh Gupta</t>
  </si>
  <si>
    <t>Savita Gupta</t>
  </si>
  <si>
    <t>Shruti Kumar</t>
  </si>
  <si>
    <t>9005411998</t>
  </si>
  <si>
    <t>shruti.kumar50@gmail.com</t>
  </si>
  <si>
    <t>Dinesh Kumar</t>
  </si>
  <si>
    <t>Manish Gupta</t>
  </si>
  <si>
    <t>7037788925</t>
  </si>
  <si>
    <t>manish.gupta48@gmail.com</t>
  </si>
  <si>
    <t>Prakash Gupta</t>
  </si>
  <si>
    <t>Meena Gupta</t>
  </si>
  <si>
    <t>Akash Bajpai</t>
  </si>
  <si>
    <t>7519254629</t>
  </si>
  <si>
    <t>akash.bajpai91@gmail.com</t>
  </si>
  <si>
    <t>Jitendra Bajpai</t>
  </si>
  <si>
    <t>Kiran Bajpai</t>
  </si>
  <si>
    <t>Deepak Saxena</t>
  </si>
  <si>
    <t>7357332214</t>
  </si>
  <si>
    <t>deepak.saxena13@gmail.com</t>
  </si>
  <si>
    <t>Kailash Saxena</t>
  </si>
  <si>
    <t>Kavita Saxena</t>
  </si>
  <si>
    <t>Priya Srivastava</t>
  </si>
  <si>
    <t>8379473834</t>
  </si>
  <si>
    <t>priya.srivastava61@gmail.com</t>
  </si>
  <si>
    <t>Shyam Srivastava</t>
  </si>
  <si>
    <t>Mamta Srivastava</t>
  </si>
  <si>
    <t>Sneha Bajpai</t>
  </si>
  <si>
    <t>7407581814</t>
  </si>
  <si>
    <t>sneha.bajpai11@gmail.com</t>
  </si>
  <si>
    <t>Sunil Bajpai</t>
  </si>
  <si>
    <t>Radha Bajpai</t>
  </si>
  <si>
    <t>Ananya Srivastava</t>
  </si>
  <si>
    <t>6685361530</t>
  </si>
  <si>
    <t>ananya.srivastava41@gmail.com</t>
  </si>
  <si>
    <t>Om Prakash Srivastava</t>
  </si>
  <si>
    <t>Rekha Srivastava</t>
  </si>
  <si>
    <t>Neha Sharma</t>
  </si>
  <si>
    <t>8328986143</t>
  </si>
  <si>
    <t>neha.sharma39@gmail.com</t>
  </si>
  <si>
    <t>Om Prakash Sharma</t>
  </si>
  <si>
    <t>Nirmala Sharma</t>
  </si>
  <si>
    <t>Ritu Dubey</t>
  </si>
  <si>
    <t>7246095396</t>
  </si>
  <si>
    <t>ritu.dubey24@gmail.com</t>
  </si>
  <si>
    <t>Ashok Dubey</t>
  </si>
  <si>
    <t>Savita Dubey</t>
  </si>
  <si>
    <t>Aarav Chauhan</t>
  </si>
  <si>
    <t>6531952058</t>
  </si>
  <si>
    <t>aarav.chauhan44@gmail.com</t>
  </si>
  <si>
    <t>Naresh Chauhan</t>
  </si>
  <si>
    <t>Geeta Chauhan</t>
  </si>
  <si>
    <t>Simran Saxena</t>
  </si>
  <si>
    <t>9874034505</t>
  </si>
  <si>
    <t>simran.saxena35@gmail.com</t>
  </si>
  <si>
    <t>Shanti Saxena</t>
  </si>
  <si>
    <t>Nisha Dubey</t>
  </si>
  <si>
    <t>8161692845</t>
  </si>
  <si>
    <t>nisha.dubey14@gmail.com</t>
  </si>
  <si>
    <t>Naresh Dubey</t>
  </si>
  <si>
    <t>Suresh Chauhan</t>
  </si>
  <si>
    <t>9401658202</t>
  </si>
  <si>
    <t>suresh.chauhan78@gmail.com</t>
  </si>
  <si>
    <t>Ashok Chauhan</t>
  </si>
  <si>
    <t>Pushpa Chauhan</t>
  </si>
  <si>
    <t>Rohan Kumar</t>
  </si>
  <si>
    <t>8571928565</t>
  </si>
  <si>
    <t>rohan.kumar84@gmail.com</t>
  </si>
  <si>
    <t>Ashok Kumar</t>
  </si>
  <si>
    <t>Lata Kumar</t>
  </si>
  <si>
    <t>Ajay Agarwal</t>
  </si>
  <si>
    <t>9394731217</t>
  </si>
  <si>
    <t>ajay.agarwal23@gmail.com</t>
  </si>
  <si>
    <t>Manoj Agarwal</t>
  </si>
  <si>
    <t>Kavita Agarwal</t>
  </si>
  <si>
    <t>Muskan Mishra</t>
  </si>
  <si>
    <t>8831323705</t>
  </si>
  <si>
    <t>muskan.mishra71@gmail.com</t>
  </si>
  <si>
    <t>Om Prakash Mishra</t>
  </si>
  <si>
    <t>Kiran Mishra</t>
  </si>
  <si>
    <t>Akash Dubey</t>
  </si>
  <si>
    <t>8289226801</t>
  </si>
  <si>
    <t>akash.dubey67@gmail.com</t>
  </si>
  <si>
    <t>Shyam Dubey</t>
  </si>
  <si>
    <t>Usha Dubey</t>
  </si>
  <si>
    <t>Divya Tiwari</t>
  </si>
  <si>
    <t>8249818299</t>
  </si>
  <si>
    <t>divya.tiwari20@gmail.com</t>
  </si>
  <si>
    <t>Ghanshyam Tiwari</t>
  </si>
  <si>
    <t>Poonam Tiwari</t>
  </si>
  <si>
    <t>Aarti Rastogi</t>
  </si>
  <si>
    <t>9907844736</t>
  </si>
  <si>
    <t>aarti.rastogi39@gmail.com</t>
  </si>
  <si>
    <t>Naresh Rastogi</t>
  </si>
  <si>
    <t>Anita Rastogi</t>
  </si>
  <si>
    <t>Rohan Rathore</t>
  </si>
  <si>
    <t>8562588153</t>
  </si>
  <si>
    <t>rohan.rathore60@gmail.com</t>
  </si>
  <si>
    <t>Manoj Rathore</t>
  </si>
  <si>
    <t>Megha Pandey</t>
  </si>
  <si>
    <t>7595327877</t>
  </si>
  <si>
    <t>megha.pandey40@gmail.com</t>
  </si>
  <si>
    <t>Ghanshyam Pandey</t>
  </si>
  <si>
    <t>Sanjay Maurya</t>
  </si>
  <si>
    <t>9480162456</t>
  </si>
  <si>
    <t>sanjay.maurya47@gmail.com</t>
  </si>
  <si>
    <t>Ashok Maurya</t>
  </si>
  <si>
    <t>Kiran Maurya</t>
  </si>
  <si>
    <t>Sachin Agarwal</t>
  </si>
  <si>
    <t>6216558523</t>
  </si>
  <si>
    <t>sachin.agarwal78@gmail.com</t>
  </si>
  <si>
    <t>Kiran Agarwal</t>
  </si>
  <si>
    <t>Gaurav Dubey</t>
  </si>
  <si>
    <t>7595269495</t>
  </si>
  <si>
    <t>gaurav.dubey65@gmail.com</t>
  </si>
  <si>
    <t>Rajesh Dubey</t>
  </si>
  <si>
    <t>Mamta Dubey</t>
  </si>
  <si>
    <t>Preeti Sharma</t>
  </si>
  <si>
    <t>9499309728</t>
  </si>
  <si>
    <t>preeti.sharma81@gmail.com</t>
  </si>
  <si>
    <t>Sushila Sharma</t>
  </si>
  <si>
    <t>Harsh Tiwari</t>
  </si>
  <si>
    <t>9897028385</t>
  </si>
  <si>
    <t>harsh.tiwari85@gmail.com</t>
  </si>
  <si>
    <t>Rakesh Tiwari</t>
  </si>
  <si>
    <t>Sneha Pandey</t>
  </si>
  <si>
    <t>8843443757</t>
  </si>
  <si>
    <t>sneha.pandey45@gmail.com</t>
  </si>
  <si>
    <t>Dinesh Pandey</t>
  </si>
  <si>
    <t>Usha Pandey</t>
  </si>
  <si>
    <t>Ravi Gupta</t>
  </si>
  <si>
    <t>8747338484</t>
  </si>
  <si>
    <t>ravi.gupta18@gmail.com</t>
  </si>
  <si>
    <t>Rajesh Gupta</t>
  </si>
  <si>
    <t>Mamta Gupta</t>
  </si>
  <si>
    <t>Ankit Singh</t>
  </si>
  <si>
    <t>7082677345</t>
  </si>
  <si>
    <t>ankit.singh37@gmail.com</t>
  </si>
  <si>
    <t>Mukesh Singh</t>
  </si>
  <si>
    <t>Geeta Singh</t>
  </si>
  <si>
    <t>Isha Maurya</t>
  </si>
  <si>
    <t>7400499154</t>
  </si>
  <si>
    <t>isha.maurya59@gmail.com</t>
  </si>
  <si>
    <t>Mukesh Maurya</t>
  </si>
  <si>
    <t>Radha Maurya</t>
  </si>
  <si>
    <t>Manish Saxena</t>
  </si>
  <si>
    <t>7296685161</t>
  </si>
  <si>
    <t>manish.saxena24@gmail.com</t>
  </si>
  <si>
    <t>Sunil Saxena</t>
  </si>
  <si>
    <t>Payal Sharma</t>
  </si>
  <si>
    <t>8530174268</t>
  </si>
  <si>
    <t>payal.sharma91@gmail.com</t>
  </si>
  <si>
    <t>Rekha Sharma</t>
  </si>
  <si>
    <t>Gaurav Chauhan</t>
  </si>
  <si>
    <t>9878339187</t>
  </si>
  <si>
    <t>gaurav.chauhan68@gmail.com</t>
  </si>
  <si>
    <t>Prakash Chauhan</t>
  </si>
  <si>
    <t>Kiran Chauhan</t>
  </si>
  <si>
    <t>Akash Tiwari</t>
  </si>
  <si>
    <t>9187072867</t>
  </si>
  <si>
    <t>akash.tiwari73@gmail.com</t>
  </si>
  <si>
    <t>Anita Tiwari</t>
  </si>
  <si>
    <t>Aditya Shukla</t>
  </si>
  <si>
    <t>6170462265</t>
  </si>
  <si>
    <t>aditya.shukla49@gmail.com</t>
  </si>
  <si>
    <t>Mukesh Shukla</t>
  </si>
  <si>
    <t>Lata Shukla</t>
  </si>
  <si>
    <t>Rohan Pandey</t>
  </si>
  <si>
    <t>6047868633</t>
  </si>
  <si>
    <t>rohan.pandey59@gmail.com</t>
  </si>
  <si>
    <t>Jitendra Pandey</t>
  </si>
  <si>
    <t>Nirmala Pandey</t>
  </si>
  <si>
    <t>STUDENTS BY CITY</t>
  </si>
  <si>
    <t>Number of Students</t>
  </si>
  <si>
    <t>Share</t>
  </si>
  <si>
    <t>Chart data: top 8 cities + all others</t>
  </si>
  <si>
    <t>STUDENTS BY MARKS GROUP</t>
  </si>
  <si>
    <t>Marks Group (Percentage)</t>
  </si>
  <si>
    <t>Below 30% (Fail)</t>
  </si>
  <si>
    <t>30% to below 50%</t>
  </si>
  <si>
    <t>50% to below 70%</t>
  </si>
  <si>
    <t>70% and above</t>
  </si>
  <si>
    <t>Groups use each student's overall percentage (Total / 600). Fail = below 30%.</t>
  </si>
  <si>
    <t>PASS % AND FAIL % IN EACH SUBJECT</t>
  </si>
  <si>
    <t>Pass (students)</t>
  </si>
  <si>
    <t>Fail (students)</t>
  </si>
  <si>
    <t>Pass %</t>
  </si>
  <si>
    <t>Fail %</t>
  </si>
  <si>
    <t>Pass = 30 marks or more in that subject. Fail = below 30 marks.</t>
  </si>
  <si>
    <t>In the chart, the green bar is Pass % and the red bar is Fail %.</t>
  </si>
  <si>
    <t>TOP 3 STUDENTS - OVERALL AND SUBJECT-WISE</t>
  </si>
  <si>
    <t>❶</t>
  </si>
  <si>
    <t>❷</t>
  </si>
  <si>
    <t>❸</t>
  </si>
  <si>
    <t>OVERALL TOPPERS</t>
  </si>
  <si>
    <t>Ties are ranked by serial number (lower first). Overall ranking uses total marks out of 600. Names update automatically if marks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</si>
</sst>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charset val="1"/>
    </font>
    <font>
      <b/>
      <sz val="20"/>
      <color rgb="FFFFFFFF"/>
      <name val="Cambria"/>
      <charset val="1"/>
    </font>
    <font>
      <i/>
      <sz val="11"/>
      <color rgb="FF5B6573"/>
      <name val="Cambria"/>
      <charset val="1"/>
    </font>
    <font>
      <b/>
      <sz val="11"/>
      <color rgb="FFFFFFFF"/>
      <name val="Cambria"/>
      <charset val="1"/>
    </font>
    <font>
      <b/>
      <sz val="22"/>
      <color rgb="FF17365D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20"/>
      <color rgb="FFFFFFFF"/>
      <name val="Arial"/>
      <charset val="1"/>
    </font>
    <font>
      <i/>
      <sz val="10"/>
      <color rgb="FF444444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8"/>
      <color rgb="FFFFFFFF"/>
      <name val="Arial"/>
      <charset val="1"/>
    </font>
    <font>
      <b/>
      <sz val="10"/>
      <color rgb="FF000000"/>
      <name val="Arial"/>
      <charset val="1"/>
    </font>
    <font>
      <i/>
      <sz val="9"/>
      <color rgb="FF555555"/>
      <name val="Arial"/>
      <charset val="1"/>
    </font>
    <font>
      <sz val="10"/>
      <color rgb="FF006100"/>
      <name val="Arial"/>
      <charset val="1"/>
    </font>
    <font>
      <sz val="60"/>
      <color rgb="FFE0A800"/>
      <name val="Segoe UI Symbol"/>
      <charset val="1"/>
    </font>
    <font>
      <sz val="60"/>
      <color rgb="FF8E99A4"/>
      <name val="Segoe UI Symbol"/>
      <charset val="1"/>
    </font>
    <font>
      <sz val="60"/>
      <color rgb="FFB87333"/>
      <name val="Segoe UI Symbol"/>
      <charset val="1"/>
    </font>
    <font>
      <b/>
      <sz val="12"/>
      <color rgb="FF000000"/>
      <name val="Arial"/>
      <charset val="1"/>
    </font>
    <font>
      <sz val="11"/>
      <color rgb="FF444444"/>
      <name val="Arial"/>
      <charset val="1"/>
    </font>
    <font>
      <b/>
      <sz val="12"/>
      <color rgb="FFFFFFFF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7365D"/>
        <bgColor rgb="FF1F3A5F"/>
      </patternFill>
    </fill>
    <fill>
      <patternFill patternType="solid">
        <fgColor rgb="FF0F6C7D"/>
        <bgColor rgb="FF0F766E"/>
      </patternFill>
    </fill>
    <fill>
      <patternFill patternType="solid">
        <fgColor rgb="FFEAF3F8"/>
        <bgColor rgb="FFEAF1F8"/>
      </patternFill>
    </fill>
    <fill>
      <patternFill patternType="solid">
        <fgColor rgb="FFD9EAF7"/>
        <bgColor rgb="FFD9E2F3"/>
      </patternFill>
    </fill>
    <fill>
      <patternFill patternType="solid">
        <fgColor rgb="FFF4F8FB"/>
        <bgColor rgb="FFF5F8FB"/>
      </patternFill>
    </fill>
    <fill>
      <patternFill patternType="solid">
        <fgColor rgb="FF1F3A5F"/>
        <bgColor rgb="FF17365D"/>
      </patternFill>
    </fill>
    <fill>
      <patternFill patternType="solid">
        <fgColor rgb="FFEAF1F8"/>
        <bgColor rgb="FFEAF3F8"/>
      </patternFill>
    </fill>
    <fill>
      <patternFill patternType="solid">
        <fgColor rgb="FFC6EFCE"/>
        <bgColor rgb="FFD9EAF7"/>
      </patternFill>
    </fill>
    <fill>
      <patternFill patternType="solid">
        <fgColor rgb="FFFFC7CE"/>
        <bgColor rgb="FFF9E3E7"/>
      </patternFill>
    </fill>
    <fill>
      <patternFill patternType="solid">
        <fgColor rgb="FF2C5F8A"/>
        <bgColor rgb="FF1F4E79"/>
      </patternFill>
    </fill>
    <fill>
      <patternFill patternType="solid">
        <fgColor rgb="FFD97706"/>
        <bgColor rgb="FFB8860B"/>
      </patternFill>
    </fill>
    <fill>
      <patternFill patternType="solid">
        <fgColor rgb="FF0F766E"/>
        <bgColor rgb="FF0F6C7D"/>
      </patternFill>
    </fill>
    <fill>
      <patternFill patternType="solid">
        <fgColor rgb="FFF5F8FB"/>
        <bgColor rgb="FFF4F8FB"/>
      </patternFill>
    </fill>
    <fill>
      <patternFill patternType="solid">
        <fgColor rgb="FFEEF7F6"/>
        <bgColor rgb="FFF4F8FB"/>
      </patternFill>
    </fill>
    <fill>
      <patternFill patternType="solid">
        <fgColor rgb="FFB45F06"/>
        <bgColor rgb="FFB87333"/>
      </patternFill>
    </fill>
    <fill>
      <patternFill patternType="solid">
        <fgColor rgb="FFFDF3E4"/>
        <bgColor rgb="FFFBF4DC"/>
      </patternFill>
    </fill>
    <fill>
      <patternFill patternType="solid">
        <fgColor rgb="FF115E59"/>
        <bgColor rgb="FF0F6C7D"/>
      </patternFill>
    </fill>
    <fill>
      <patternFill patternType="solid">
        <fgColor rgb="FF5B3E96"/>
        <bgColor rgb="FF6D4C9F"/>
      </patternFill>
    </fill>
    <fill>
      <patternFill patternType="solid">
        <fgColor rgb="FFE3EFF8"/>
        <bgColor rgb="FFE1F3F1"/>
      </patternFill>
    </fill>
    <fill>
      <patternFill patternType="solid">
        <fgColor rgb="FFE1F3F1"/>
        <bgColor rgb="FFE3EFF8"/>
      </patternFill>
    </fill>
    <fill>
      <patternFill patternType="solid">
        <fgColor rgb="FFFDEFDD"/>
        <bgColor rgb="FFFDF3E4"/>
      </patternFill>
    </fill>
    <fill>
      <patternFill patternType="solid">
        <fgColor rgb="FFEFE9F8"/>
        <bgColor rgb="FFEAF1F8"/>
      </patternFill>
    </fill>
    <fill>
      <patternFill patternType="solid">
        <fgColor rgb="FFFBF4DC"/>
        <bgColor rgb="FFFDF3E4"/>
      </patternFill>
    </fill>
    <fill>
      <patternFill patternType="solid">
        <fgColor rgb="FFF9E3E7"/>
        <bgColor rgb="FFEFE9F8"/>
      </patternFill>
    </fill>
    <fill>
      <patternFill patternType="solid">
        <fgColor rgb="FFB8860B"/>
        <bgColor rgb="FFB87333"/>
      </patternFill>
    </fill>
    <fill>
      <patternFill patternType="solid">
        <fgColor rgb="FF1F4E78"/>
        <bgColor rgb="FF1F4E7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1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4" fontId="4" fillId="4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49" fontId="12" fillId="0" borderId="2" xfId="0" applyNumberFormat="1" applyFont="1" applyBorder="1" applyAlignment="1">
      <alignment vertical="center"/>
    </xf>
    <xf numFmtId="1" fontId="12" fillId="0" borderId="2" xfId="0" applyNumberFormat="1" applyFont="1" applyBorder="1" applyAlignment="1">
      <alignment vertical="center"/>
    </xf>
    <xf numFmtId="165" fontId="12" fillId="0" borderId="2" xfId="0" applyNumberFormat="1" applyFont="1" applyBorder="1" applyAlignment="1">
      <alignment vertical="center"/>
    </xf>
    <xf numFmtId="164" fontId="12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2" fillId="14" borderId="2" xfId="0" applyFont="1" applyFill="1" applyBorder="1" applyAlignment="1">
      <alignment vertical="center"/>
    </xf>
    <xf numFmtId="49" fontId="12" fillId="14" borderId="2" xfId="0" applyNumberFormat="1" applyFont="1" applyFill="1" applyBorder="1" applyAlignment="1">
      <alignment vertical="center"/>
    </xf>
    <xf numFmtId="1" fontId="12" fillId="14" borderId="2" xfId="0" applyNumberFormat="1" applyFont="1" applyFill="1" applyBorder="1" applyAlignment="1">
      <alignment vertical="center"/>
    </xf>
    <xf numFmtId="1" fontId="9" fillId="9" borderId="2" xfId="0" applyNumberFormat="1" applyFont="1" applyFill="1" applyBorder="1" applyAlignment="1">
      <alignment vertical="center"/>
    </xf>
    <xf numFmtId="165" fontId="12" fillId="14" borderId="2" xfId="0" applyNumberFormat="1" applyFont="1" applyFill="1" applyBorder="1" applyAlignment="1">
      <alignment vertical="center"/>
    </xf>
    <xf numFmtId="164" fontId="12" fillId="14" borderId="2" xfId="0" applyNumberFormat="1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1" fontId="10" fillId="10" borderId="2" xfId="0" applyNumberFormat="1" applyFont="1" applyFill="1" applyBorder="1" applyAlignment="1">
      <alignment vertical="center"/>
    </xf>
    <xf numFmtId="0" fontId="10" fillId="10" borderId="2" xfId="0" applyFont="1" applyFill="1" applyBorder="1" applyAlignment="1">
      <alignment vertical="center"/>
    </xf>
    <xf numFmtId="165" fontId="10" fillId="10" borderId="2" xfId="0" applyNumberFormat="1" applyFont="1" applyFill="1" applyBorder="1" applyAlignment="1">
      <alignment vertical="center"/>
    </xf>
    <xf numFmtId="164" fontId="10" fillId="10" borderId="2" xfId="0" applyNumberFormat="1" applyFont="1" applyFill="1" applyBorder="1" applyAlignment="1">
      <alignment vertical="center"/>
    </xf>
    <xf numFmtId="0" fontId="11" fillId="13" borderId="2" xfId="0" applyFont="1" applyFill="1" applyBorder="1" applyAlignment="1">
      <alignment horizontal="center" vertical="center" wrapText="1"/>
    </xf>
    <xf numFmtId="0" fontId="12" fillId="0" borderId="2" xfId="0" applyFont="1" applyBorder="1"/>
    <xf numFmtId="0" fontId="12" fillId="0" borderId="2" xfId="0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2" fillId="15" borderId="2" xfId="0" applyFont="1" applyFill="1" applyBorder="1"/>
    <xf numFmtId="0" fontId="12" fillId="15" borderId="2" xfId="0" applyFont="1" applyFill="1" applyBorder="1" applyAlignment="1">
      <alignment horizontal="center" vertical="center"/>
    </xf>
    <xf numFmtId="164" fontId="12" fillId="15" borderId="2" xfId="0" applyNumberFormat="1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0" xfId="0" applyFont="1"/>
    <xf numFmtId="0" fontId="11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/>
    <xf numFmtId="0" fontId="12" fillId="17" borderId="2" xfId="0" applyFont="1" applyFill="1" applyBorder="1" applyAlignment="1">
      <alignment horizontal="center" vertical="center"/>
    </xf>
    <xf numFmtId="164" fontId="12" fillId="17" borderId="2" xfId="0" applyNumberFormat="1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left" vertical="center" indent="1"/>
    </xf>
    <xf numFmtId="164" fontId="9" fillId="0" borderId="2" xfId="0" applyNumberFormat="1" applyFont="1" applyBorder="1" applyAlignment="1">
      <alignment horizontal="center" vertical="center"/>
    </xf>
    <xf numFmtId="0" fontId="14" fillId="21" borderId="2" xfId="0" applyFont="1" applyFill="1" applyBorder="1" applyAlignment="1">
      <alignment horizontal="left" vertical="center" indent="1"/>
    </xf>
    <xf numFmtId="0" fontId="14" fillId="22" borderId="2" xfId="0" applyFont="1" applyFill="1" applyBorder="1" applyAlignment="1">
      <alignment horizontal="left" vertical="center" indent="1"/>
    </xf>
    <xf numFmtId="0" fontId="14" fillId="23" borderId="2" xfId="0" applyFont="1" applyFill="1" applyBorder="1" applyAlignment="1">
      <alignment horizontal="left" vertical="center" indent="1"/>
    </xf>
    <xf numFmtId="0" fontId="14" fillId="24" borderId="2" xfId="0" applyFont="1" applyFill="1" applyBorder="1" applyAlignment="1">
      <alignment horizontal="left" vertical="center" indent="1"/>
    </xf>
    <xf numFmtId="0" fontId="14" fillId="25" borderId="2" xfId="0" applyFont="1" applyFill="1" applyBorder="1" applyAlignment="1">
      <alignment horizontal="left" vertical="center" indent="1"/>
    </xf>
    <xf numFmtId="0" fontId="17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 shrinkToFit="1"/>
    </xf>
    <xf numFmtId="0" fontId="21" fillId="14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0" fontId="22" fillId="26" borderId="0" xfId="0" applyFont="1" applyFill="1" applyAlignment="1">
      <alignment horizontal="center" vertical="center"/>
    </xf>
    <xf numFmtId="0" fontId="22" fillId="27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64545"/>
      <rgbColor rgb="FFEAF1F8"/>
      <rgbColor rgb="FFF4F8FB"/>
      <rgbColor rgb="FFFDF3E4"/>
      <rgbColor rgb="FFEFE9F8"/>
      <rgbColor rgb="FFD9EAF7"/>
      <rgbColor rgb="FF9C0006"/>
      <rgbColor rgb="FF006100"/>
      <rgbColor rgb="FF1F4E79"/>
      <rgbColor rgb="FFB8860B"/>
      <rgbColor rgb="FF6D4C9F"/>
      <rgbColor rgb="FF0F766E"/>
      <rgbColor rgb="FFB0B7BF"/>
      <rgbColor rgb="FF7A8984"/>
      <rgbColor rgb="FF8E6BBE"/>
      <rgbColor rgb="FFC0504D"/>
      <rgbColor rgb="FFFBF4DC"/>
      <rgbColor rgb="FFE1F3F1"/>
      <rgbColor rgb="FF5B3E96"/>
      <rgbColor rgb="FFE76F51"/>
      <rgbColor rgb="FF2C5F8A"/>
      <rgbColor rgb="FFD0D7DE"/>
      <rgbColor rgb="FF1F4E78"/>
      <rgbColor rgb="FFEEF7F6"/>
      <rgbColor rgb="FFF9E3E7"/>
      <rgbColor rgb="FFEAF3F8"/>
      <rgbColor rgb="FFB87333"/>
      <rgbColor rgb="FFE74C3C"/>
      <rgbColor rgb="FF0F6C7D"/>
      <rgbColor rgb="FFF5F8FB"/>
      <rgbColor rgb="FFD9E2F3"/>
      <rgbColor rgb="FFE3EFF8"/>
      <rgbColor rgb="FFC6EFCE"/>
      <rgbColor rgb="FFFDEFDD"/>
      <rgbColor rgb="FFB3B3B3"/>
      <rgbColor rgb="FFF4A261"/>
      <rgbColor rgb="FFD9D9D9"/>
      <rgbColor rgb="FFFFC7CE"/>
      <rgbColor rgb="FF4884C7"/>
      <rgbColor rgb="FF2EB864"/>
      <rgbColor rgb="FFE9C46A"/>
      <rgbColor rgb="FFE0A800"/>
      <rgbColor rgb="FFF5A623"/>
      <rgbColor rgb="FFD97706"/>
      <rgbColor rgb="FF5B6573"/>
      <rgbColor rgb="FF8E99A4"/>
      <rgbColor rgb="FF17365D"/>
      <rgbColor rgb="FF2A9D8F"/>
      <rgbColor rgb="FF115E59"/>
      <rgbColor rgb="FF555555"/>
      <rgbColor rgb="FFB45F06"/>
      <rgbColor rgb="FFD1495B"/>
      <rgbColor rgb="FF1F3A5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Average Marks by Subject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Dashboard!$A$11:$A$16</c:f>
              <c:strCache>
                <c:ptCount val="6"/>
                <c:pt idx="0">
                  <c:v>Hindi</c:v>
                </c:pt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</c:v>
                </c:pt>
              </c:strCache>
            </c:strRef>
          </c:cat>
          <c:val>
            <c:numRef>
              <c:f>Dashboard!$B$11:$B$16</c:f>
              <c:numCache>
                <c:formatCode>0.0</c:formatCode>
                <c:ptCount val="6"/>
                <c:pt idx="0">
                  <c:v>65.78</c:v>
                </c:pt>
                <c:pt idx="1">
                  <c:v>61.83</c:v>
                </c:pt>
                <c:pt idx="2">
                  <c:v>62.45</c:v>
                </c:pt>
                <c:pt idx="3">
                  <c:v>61.93</c:v>
                </c:pt>
                <c:pt idx="4">
                  <c:v>63.37</c:v>
                </c:pt>
                <c:pt idx="5">
                  <c:v>62.74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2-4019-8A15-B915FE59D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84821"/>
        <c:axId val="96694073"/>
      </c:barChart>
      <c:catAx>
        <c:axId val="6858482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marks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96694073"/>
        <c:crosses val="autoZero"/>
        <c:auto val="1"/>
        <c:lblAlgn val="ctr"/>
        <c:lblOffset val="100"/>
        <c:noMultiLvlLbl val="0"/>
      </c:catAx>
      <c:valAx>
        <c:axId val="96694073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68584821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Pass vs Fail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Dashboard!$G$10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43-4F90-8F03-2A1212FBB6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43-4F90-8F03-2A1212FBB6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443-4F90-8F03-2A1212FBB6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rgbClr val="000000"/>
                      </a:solidFill>
                      <a:uFillTx/>
                      <a:latin typeface="Calibri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443-4F90-8F03-2A1212FBB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uFillTx/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Dashboard!$F$11:$F$12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Dashboard!$G$11:$G$12</c:f>
              <c:numCache>
                <c:formatCode>General</c:formatCode>
                <c:ptCount val="2"/>
                <c:pt idx="0">
                  <c:v>91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43-4F90-8F03-2A1212FBB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uFillTx/>
                <a:latin typeface="Arial"/>
                <a:ea typeface="+mn-ea"/>
                <a:cs typeface="+mn-cs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Students by City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300" b="0" i="0" u="none" strike="noStrike" kern="1200" baseline="0">
              <a:solidFill>
                <a:schemeClr val="tx1"/>
              </a:solidFill>
              <a:uFillTx/>
              <a:latin typeface="Arial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Dashboard!$J$10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Dashboard!$I$11:$I$25</c:f>
              <c:strCache>
                <c:ptCount val="15"/>
                <c:pt idx="0">
                  <c:v>Agra</c:v>
                </c:pt>
                <c:pt idx="1">
                  <c:v>Allahabad</c:v>
                </c:pt>
                <c:pt idx="2">
                  <c:v>Badaun</c:v>
                </c:pt>
                <c:pt idx="3">
                  <c:v>Bareilly</c:v>
                </c:pt>
                <c:pt idx="4">
                  <c:v>Gorakhpur</c:v>
                </c:pt>
                <c:pt idx="5">
                  <c:v>Hardoi</c:v>
                </c:pt>
                <c:pt idx="6">
                  <c:v>Kanpur</c:v>
                </c:pt>
                <c:pt idx="7">
                  <c:v>Lakhimpur</c:v>
                </c:pt>
                <c:pt idx="8">
                  <c:v>Lucknow</c:v>
                </c:pt>
                <c:pt idx="9">
                  <c:v>Meerut</c:v>
                </c:pt>
                <c:pt idx="10">
                  <c:v>Moradabad</c:v>
                </c:pt>
                <c:pt idx="11">
                  <c:v>Pilibhit</c:v>
                </c:pt>
                <c:pt idx="12">
                  <c:v>Shahjahanpur</c:v>
                </c:pt>
                <c:pt idx="13">
                  <c:v>Sitapur</c:v>
                </c:pt>
                <c:pt idx="14">
                  <c:v>Varanasi</c:v>
                </c:pt>
              </c:strCache>
            </c:strRef>
          </c:cat>
          <c:val>
            <c:numRef>
              <c:f>Dashboard!$J$11:$J$25</c:f>
              <c:numCache>
                <c:formatCode>General</c:formatCode>
                <c:ptCount val="15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10</c:v>
                </c:pt>
                <c:pt idx="9">
                  <c:v>7</c:v>
                </c:pt>
                <c:pt idx="10">
                  <c:v>7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1-4180-8893-6CD3E2BC3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55125"/>
        <c:axId val="46670620"/>
      </c:barChart>
      <c:catAx>
        <c:axId val="52855125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6670620"/>
        <c:crosses val="autoZero"/>
        <c:auto val="1"/>
        <c:lblAlgn val="ctr"/>
        <c:lblOffset val="100"/>
        <c:noMultiLvlLbl val="0"/>
      </c:catAx>
      <c:valAx>
        <c:axId val="46670620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uFillTx/>
                    <a:latin typeface="Arial"/>
                    <a:ea typeface="+mn-ea"/>
                    <a:cs typeface="+mn-cs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uFillTx/>
                  <a:latin typeface="Arial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rgbClr val="B3B3B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  <a:endParaRPr lang="en-US"/>
          </a:p>
        </c:txPr>
        <c:crossAx val="5285512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Where Our 100 Students Come From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'City Chart'!$B$22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77B4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373E-42AC-B964-D94C1FA709A9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373E-42AC-B964-D94C1FA709A9}"/>
              </c:ext>
            </c:extLst>
          </c:dPt>
          <c:dPt>
            <c:idx val="2"/>
            <c:bubble3D val="0"/>
            <c:spPr>
              <a:solidFill>
                <a:srgbClr val="F4A261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373E-42AC-B964-D94C1FA709A9}"/>
              </c:ext>
            </c:extLst>
          </c:dPt>
          <c:dPt>
            <c:idx val="3"/>
            <c:bubble3D val="0"/>
            <c:spPr>
              <a:solidFill>
                <a:srgbClr val="E76F51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373E-42AC-B964-D94C1FA709A9}"/>
              </c:ext>
            </c:extLst>
          </c:dPt>
          <c:dPt>
            <c:idx val="4"/>
            <c:bubble3D val="0"/>
            <c:spPr>
              <a:solidFill>
                <a:srgbClr val="8E6BBE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373E-42AC-B964-D94C1FA709A9}"/>
              </c:ext>
            </c:extLst>
          </c:dPt>
          <c:dPt>
            <c:idx val="5"/>
            <c:bubble3D val="0"/>
            <c:spPr>
              <a:solidFill>
                <a:srgbClr val="E9C46A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373E-42AC-B964-D94C1FA709A9}"/>
              </c:ext>
            </c:extLst>
          </c:dPt>
          <c:dPt>
            <c:idx val="6"/>
            <c:bubble3D val="0"/>
            <c:spPr>
              <a:solidFill>
                <a:srgbClr val="5B8E7D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373E-42AC-B964-D94C1FA709A9}"/>
              </c:ext>
            </c:extLst>
          </c:dPt>
          <c:dPt>
            <c:idx val="7"/>
            <c:bubble3D val="0"/>
            <c:spPr>
              <a:solidFill>
                <a:srgbClr val="D1495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373E-42AC-B964-D94C1FA709A9}"/>
              </c:ext>
            </c:extLst>
          </c:dPt>
          <c:dPt>
            <c:idx val="8"/>
            <c:bubble3D val="0"/>
            <c:spPr>
              <a:solidFill>
                <a:srgbClr val="B0B7B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373E-42AC-B964-D94C1FA709A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73E-42AC-B964-D94C1FA709A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73E-42AC-B964-D94C1FA709A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73E-42AC-B964-D94C1FA709A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73E-42AC-B964-D94C1FA709A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73E-42AC-B964-D94C1FA709A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73E-42AC-B964-D94C1FA709A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73E-42AC-B964-D94C1FA709A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73E-42AC-B964-D94C1FA709A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373E-42AC-B964-D94C1FA709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'City Chart'!$A$23:$A$31</c:f>
              <c:strCache>
                <c:ptCount val="9"/>
                <c:pt idx="0">
                  <c:v>Lucknow</c:v>
                </c:pt>
                <c:pt idx="1">
                  <c:v>Bareilly</c:v>
                </c:pt>
                <c:pt idx="2">
                  <c:v>Gorakhpur</c:v>
                </c:pt>
                <c:pt idx="3">
                  <c:v>Shahjahanpur</c:v>
                </c:pt>
                <c:pt idx="4">
                  <c:v>Allahabad</c:v>
                </c:pt>
                <c:pt idx="5">
                  <c:v>Hardoi</c:v>
                </c:pt>
                <c:pt idx="6">
                  <c:v>Meerut</c:v>
                </c:pt>
                <c:pt idx="7">
                  <c:v>Moradabad</c:v>
                </c:pt>
                <c:pt idx="8">
                  <c:v>Other cities (7)</c:v>
                </c:pt>
              </c:strCache>
            </c:strRef>
          </c:cat>
          <c:val>
            <c:numRef>
              <c:f>'City Chart'!$B$23:$B$31</c:f>
              <c:numCache>
                <c:formatCode>General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73E-42AC-B964-D94C1FA70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Number of Students by Marks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'Marks Chart'!$B$3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74C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5A-49A4-B5C8-CEB2F168C579}"/>
              </c:ext>
            </c:extLst>
          </c:dPt>
          <c:dPt>
            <c:idx val="1"/>
            <c:invertIfNegative val="0"/>
            <c:bubble3D val="0"/>
            <c:spPr>
              <a:solidFill>
                <a:srgbClr val="F5A62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5A-49A4-B5C8-CEB2F168C579}"/>
              </c:ext>
            </c:extLst>
          </c:dPt>
          <c:dPt>
            <c:idx val="2"/>
            <c:invertIfNegative val="0"/>
            <c:bubble3D val="0"/>
            <c:spPr>
              <a:solidFill>
                <a:srgbClr val="3498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5A-49A4-B5C8-CEB2F168C579}"/>
              </c:ext>
            </c:extLst>
          </c:dPt>
          <c:dPt>
            <c:idx val="3"/>
            <c:invertIfNegative val="0"/>
            <c:bubble3D val="0"/>
            <c:spPr>
              <a:solidFill>
                <a:srgbClr val="2ECC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95A-49A4-B5C8-CEB2F168C57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95A-49A4-B5C8-CEB2F168C57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95A-49A4-B5C8-CEB2F168C57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95A-49A4-B5C8-CEB2F168C57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200" b="1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95A-49A4-B5C8-CEB2F168C5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'Marks Chart'!$A$4:$A$7</c:f>
              <c:strCache>
                <c:ptCount val="4"/>
                <c:pt idx="0">
                  <c:v>Below 30% (Fail)</c:v>
                </c:pt>
                <c:pt idx="1">
                  <c:v>30% to below 50%</c:v>
                </c:pt>
                <c:pt idx="2">
                  <c:v>50% to below 70%</c:v>
                </c:pt>
                <c:pt idx="3">
                  <c:v>70% and above</c:v>
                </c:pt>
              </c:strCache>
            </c:strRef>
          </c:cat>
          <c:val>
            <c:numRef>
              <c:f>'Marks Chart'!$B$4:$B$7</c:f>
              <c:numCache>
                <c:formatCode>General</c:formatCode>
                <c:ptCount val="4"/>
                <c:pt idx="0">
                  <c:v>9</c:v>
                </c:pt>
                <c:pt idx="1">
                  <c:v>2</c:v>
                </c:pt>
                <c:pt idx="2">
                  <c:v>57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5A-49A4-B5C8-CEB2F168C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1291346"/>
        <c:axId val="29306219"/>
      </c:barChart>
      <c:catAx>
        <c:axId val="812913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306219"/>
        <c:crosses val="autoZero"/>
        <c:auto val="1"/>
        <c:lblAlgn val="ctr"/>
        <c:lblOffset val="100"/>
        <c:noMultiLvlLbl val="0"/>
      </c:catAx>
      <c:valAx>
        <c:axId val="29306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291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Pass % and Fail % in Each Subject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Pass</c:v>
          </c:tx>
          <c:spPr>
            <a:solidFill>
              <a:srgbClr val="2E9E5B"/>
            </a:solidFill>
            <a:ln w="0">
              <a:solidFill>
                <a:srgbClr val="2E9E5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2E9E5B"/>
                      </a:solidFill>
                    </a:ln>
                  </c:spPr>
                </c15:leaderLines>
              </c:ext>
            </c:extLst>
          </c:dLbls>
          <c:cat>
            <c:strRef>
              <c:f>'Subject Pass-Fail'!$A$4:$A$9</c:f>
              <c:strCache>
                <c:ptCount val="6"/>
                <c:pt idx="0">
                  <c:v>Hindi</c:v>
                </c:pt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</c:v>
                </c:pt>
              </c:strCache>
            </c:strRef>
          </c:cat>
          <c:val>
            <c:numRef>
              <c:f>'Subject Pass-Fail'!$D$4:$D$9</c:f>
              <c:numCache>
                <c:formatCode>0.0%</c:formatCode>
                <c:ptCount val="6"/>
                <c:pt idx="0">
                  <c:v>0.95</c:v>
                </c:pt>
                <c:pt idx="1">
                  <c:v>0.92</c:v>
                </c:pt>
                <c:pt idx="2">
                  <c:v>0.92</c:v>
                </c:pt>
                <c:pt idx="3">
                  <c:v>0.96</c:v>
                </c:pt>
                <c:pt idx="4">
                  <c:v>0.96</c:v>
                </c:pt>
                <c:pt idx="5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F-489A-B6B1-704A27676BA9}"/>
            </c:ext>
          </c:extLst>
        </c:ser>
        <c:ser>
          <c:idx val="1"/>
          <c:order val="1"/>
          <c:tx>
            <c:v>Fail</c:v>
          </c:tx>
          <c:spPr>
            <a:solidFill>
              <a:srgbClr val="D64545"/>
            </a:solidFill>
            <a:ln w="0">
              <a:solidFill>
                <a:srgbClr val="D6454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D64545"/>
                      </a:solidFill>
                    </a:ln>
                  </c:spPr>
                </c15:leaderLines>
              </c:ext>
            </c:extLst>
          </c:dLbls>
          <c:cat>
            <c:strRef>
              <c:f>'Subject Pass-Fail'!$A$4:$A$9</c:f>
              <c:strCache>
                <c:ptCount val="6"/>
                <c:pt idx="0">
                  <c:v>Hindi</c:v>
                </c:pt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Social Science</c:v>
                </c:pt>
                <c:pt idx="5">
                  <c:v>Computer</c:v>
                </c:pt>
              </c:strCache>
            </c:strRef>
          </c:cat>
          <c:val>
            <c:numRef>
              <c:f>'Subject Pass-Fail'!$E$4:$E$9</c:f>
              <c:numCache>
                <c:formatCode>0.0%</c:formatCode>
                <c:ptCount val="6"/>
                <c:pt idx="0">
                  <c:v>0.05</c:v>
                </c:pt>
                <c:pt idx="1">
                  <c:v>0.08</c:v>
                </c:pt>
                <c:pt idx="2">
                  <c:v>0.08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F-489A-B6B1-704A27676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9717500"/>
        <c:axId val="93487658"/>
      </c:barChart>
      <c:catAx>
        <c:axId val="497175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3487658"/>
        <c:crosses val="autoZero"/>
        <c:auto val="1"/>
        <c:lblAlgn val="ctr"/>
        <c:lblOffset val="100"/>
        <c:noMultiLvlLbl val="0"/>
      </c:catAx>
      <c:valAx>
        <c:axId val="93487658"/>
        <c:scaling>
          <c:orientation val="minMax"/>
          <c:max val="1.2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Percentage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717500"/>
        <c:crosses val="max"/>
        <c:crossBetween val="between"/>
        <c:majorUnit val="0.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3</xdr:col>
      <xdr:colOff>552600</xdr:colOff>
      <xdr:row>31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358140</xdr:colOff>
      <xdr:row>27</xdr:row>
      <xdr:rowOff>121920</xdr:rowOff>
    </xdr:from>
    <xdr:to>
      <xdr:col>9</xdr:col>
      <xdr:colOff>778620</xdr:colOff>
      <xdr:row>41</xdr:row>
      <xdr:rowOff>29280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35280</xdr:colOff>
      <xdr:row>46</xdr:row>
      <xdr:rowOff>151200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15</xdr:col>
      <xdr:colOff>112680</xdr:colOff>
      <xdr:row>27</xdr:row>
      <xdr:rowOff>96840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15</xdr:col>
      <xdr:colOff>112680</xdr:colOff>
      <xdr:row>23</xdr:row>
      <xdr:rowOff>138600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20</xdr:col>
      <xdr:colOff>78120</xdr:colOff>
      <xdr:row>27</xdr:row>
      <xdr:rowOff>113760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showGridLines="0" zoomScaleNormal="100" workbookViewId="0">
      <pane ySplit="3" topLeftCell="A51" activePane="bottomLeft" state="frozen"/>
      <selection pane="bottomLeft" activeCell="E39" sqref="E39"/>
    </sheetView>
  </sheetViews>
  <sheetFormatPr defaultColWidth="8.6640625" defaultRowHeight="15" customHeight="1" x14ac:dyDescent="0.3"/>
  <cols>
    <col min="1" max="1" width="23" customWidth="1"/>
    <col min="2" max="2" width="17" customWidth="1"/>
    <col min="3" max="3" width="16" customWidth="1"/>
    <col min="4" max="4" width="15" customWidth="1"/>
    <col min="5" max="5" width="4" customWidth="1"/>
    <col min="6" max="6" width="18" customWidth="1"/>
    <col min="7" max="7" width="16" customWidth="1"/>
    <col min="8" max="8" width="4" customWidth="1"/>
    <col min="9" max="9" width="20" customWidth="1"/>
    <col min="10" max="10" width="15" customWidth="1"/>
    <col min="11" max="12" width="14" customWidth="1"/>
  </cols>
  <sheetData>
    <row r="1" spans="1:12" ht="37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4.4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24" customHeight="1" x14ac:dyDescent="0.3">
      <c r="A4" s="12" t="s">
        <v>2</v>
      </c>
      <c r="B4" s="12"/>
      <c r="C4" s="12"/>
      <c r="D4" s="12" t="s">
        <v>3</v>
      </c>
      <c r="E4" s="12"/>
      <c r="F4" s="12"/>
      <c r="G4" s="12" t="s">
        <v>4</v>
      </c>
      <c r="H4" s="12"/>
      <c r="I4" s="12"/>
      <c r="J4" s="12" t="s">
        <v>5</v>
      </c>
      <c r="K4" s="12"/>
      <c r="L4" s="12"/>
    </row>
    <row r="5" spans="1:12" ht="27.75" customHeight="1" x14ac:dyDescent="0.3">
      <c r="A5" s="11">
        <f>COUNTA(Students!B5:B104)</f>
        <v>100</v>
      </c>
      <c r="B5" s="11"/>
      <c r="C5" s="11"/>
      <c r="D5" s="11">
        <f>COUNTIF(Students!Q5:Q104,"Pass")</f>
        <v>91</v>
      </c>
      <c r="E5" s="11"/>
      <c r="F5" s="11"/>
      <c r="G5" s="11">
        <f>COUNTIF(Students!Q5:Q104,"Fail")</f>
        <v>9</v>
      </c>
      <c r="H5" s="11"/>
      <c r="I5" s="11"/>
      <c r="J5" s="10">
        <f>AVERAGE(Students!P5:P104)</f>
        <v>0.63016666666666643</v>
      </c>
      <c r="K5" s="10"/>
      <c r="L5" s="10"/>
    </row>
    <row r="6" spans="1:12" ht="21.7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0"/>
      <c r="K6" s="10"/>
      <c r="L6" s="10"/>
    </row>
    <row r="9" spans="1:12" x14ac:dyDescent="0.3">
      <c r="A9" s="9" t="s">
        <v>6</v>
      </c>
      <c r="B9" s="9"/>
      <c r="C9" s="9"/>
      <c r="D9" s="9"/>
      <c r="F9" s="8" t="s">
        <v>7</v>
      </c>
      <c r="G9" s="8"/>
      <c r="I9" s="8" t="s">
        <v>8</v>
      </c>
      <c r="J9" s="8"/>
      <c r="K9" s="8"/>
      <c r="L9" s="8"/>
    </row>
    <row r="10" spans="1:12" ht="14.4" x14ac:dyDescent="0.3">
      <c r="A10" s="15" t="s">
        <v>9</v>
      </c>
      <c r="B10" s="16" t="s">
        <v>10</v>
      </c>
      <c r="C10" s="16" t="s">
        <v>11</v>
      </c>
      <c r="D10" s="16" t="s">
        <v>12</v>
      </c>
      <c r="F10" s="16" t="s">
        <v>13</v>
      </c>
      <c r="G10" s="16" t="s">
        <v>14</v>
      </c>
      <c r="I10" s="16" t="s">
        <v>15</v>
      </c>
      <c r="J10" s="16" t="s">
        <v>14</v>
      </c>
    </row>
    <row r="11" spans="1:12" ht="14.4" x14ac:dyDescent="0.3">
      <c r="A11" s="17" t="s">
        <v>16</v>
      </c>
      <c r="B11" s="18">
        <f>AVERAGE(Students!$H$5:$H$104)</f>
        <v>65.78</v>
      </c>
      <c r="C11" s="19">
        <f>COUNTIF(Students!$H$5:$H$104,"&gt;=30")</f>
        <v>95</v>
      </c>
      <c r="D11" s="19">
        <f>COUNTIF(Students!$H$5:$H$104,"&lt;30")</f>
        <v>5</v>
      </c>
      <c r="F11" s="20" t="s">
        <v>17</v>
      </c>
      <c r="G11" s="20">
        <f>COUNTIF(Students!Q5:Q104,"Pass")</f>
        <v>91</v>
      </c>
      <c r="I11" s="20" t="s">
        <v>18</v>
      </c>
      <c r="J11" s="20">
        <f>COUNTIF(Students!$E$5:$E$104,I11)</f>
        <v>4</v>
      </c>
    </row>
    <row r="12" spans="1:12" ht="14.4" x14ac:dyDescent="0.3">
      <c r="A12" s="21" t="s">
        <v>19</v>
      </c>
      <c r="B12" s="22">
        <f>AVERAGE(Students!$I$5:$I$104)</f>
        <v>61.83</v>
      </c>
      <c r="C12" s="20">
        <f>COUNTIF(Students!$I$5:$I$104,"&gt;=30")</f>
        <v>92</v>
      </c>
      <c r="D12" s="20">
        <f>COUNTIF(Students!$I$5:$I$104,"&lt;30")</f>
        <v>8</v>
      </c>
      <c r="F12" s="20" t="s">
        <v>20</v>
      </c>
      <c r="G12" s="20">
        <f>COUNTIF(Students!Q5:Q104,"Fail")</f>
        <v>9</v>
      </c>
      <c r="I12" s="20" t="s">
        <v>21</v>
      </c>
      <c r="J12" s="20">
        <f>COUNTIF(Students!$E$5:$E$104,I12)</f>
        <v>7</v>
      </c>
    </row>
    <row r="13" spans="1:12" ht="14.4" x14ac:dyDescent="0.3">
      <c r="A13" s="17" t="s">
        <v>22</v>
      </c>
      <c r="B13" s="18">
        <f>AVERAGE(Students!$J$5:$J$104)</f>
        <v>62.45</v>
      </c>
      <c r="C13" s="19">
        <f>COUNTIF(Students!$J$5:$J$104,"&gt;=30")</f>
        <v>92</v>
      </c>
      <c r="D13" s="19">
        <f>COUNTIF(Students!$J$5:$J$104,"&lt;30")</f>
        <v>8</v>
      </c>
      <c r="I13" s="20" t="s">
        <v>23</v>
      </c>
      <c r="J13" s="20">
        <f>COUNTIF(Students!$E$5:$E$104,I13)</f>
        <v>6</v>
      </c>
    </row>
    <row r="14" spans="1:12" ht="14.4" x14ac:dyDescent="0.3">
      <c r="A14" s="21" t="s">
        <v>24</v>
      </c>
      <c r="B14" s="22">
        <f>AVERAGE(Students!$K$5:$K$104)</f>
        <v>61.93</v>
      </c>
      <c r="C14" s="20">
        <f>COUNTIF(Students!$K$5:$K$104,"&gt;=30")</f>
        <v>96</v>
      </c>
      <c r="D14" s="20">
        <f>COUNTIF(Students!$K$5:$K$104,"&lt;30")</f>
        <v>4</v>
      </c>
      <c r="I14" s="20" t="s">
        <v>25</v>
      </c>
      <c r="J14" s="20">
        <f>COUNTIF(Students!$E$5:$E$104,I14)</f>
        <v>9</v>
      </c>
    </row>
    <row r="15" spans="1:12" ht="14.4" x14ac:dyDescent="0.3">
      <c r="A15" s="17" t="s">
        <v>26</v>
      </c>
      <c r="B15" s="18">
        <f>AVERAGE(Students!$L$5:$L$104)</f>
        <v>63.37</v>
      </c>
      <c r="C15" s="19">
        <f>COUNTIF(Students!$L$5:$L$104,"&gt;=30")</f>
        <v>96</v>
      </c>
      <c r="D15" s="19">
        <f>COUNTIF(Students!$L$5:$L$104,"&lt;30")</f>
        <v>4</v>
      </c>
      <c r="I15" s="20" t="s">
        <v>27</v>
      </c>
      <c r="J15" s="20">
        <f>COUNTIF(Students!$E$5:$E$104,I15)</f>
        <v>8</v>
      </c>
    </row>
    <row r="16" spans="1:12" ht="14.4" x14ac:dyDescent="0.3">
      <c r="A16" s="21" t="s">
        <v>28</v>
      </c>
      <c r="B16" s="22">
        <f>AVERAGE(Students!$M$5:$M$104)</f>
        <v>62.74</v>
      </c>
      <c r="C16" s="20">
        <f>COUNTIF(Students!$M$5:$M$104,"&gt;=30")</f>
        <v>93</v>
      </c>
      <c r="D16" s="20">
        <f>COUNTIF(Students!$M$5:$M$104,"&lt;30")</f>
        <v>7</v>
      </c>
      <c r="I16" s="20" t="s">
        <v>29</v>
      </c>
      <c r="J16" s="20">
        <f>COUNTIF(Students!$E$5:$E$104,I16)</f>
        <v>7</v>
      </c>
    </row>
    <row r="17" spans="9:10" ht="14.4" x14ac:dyDescent="0.3">
      <c r="I17" s="20" t="s">
        <v>30</v>
      </c>
      <c r="J17" s="20">
        <f>COUNTIF(Students!$E$5:$E$104,I17)</f>
        <v>6</v>
      </c>
    </row>
    <row r="18" spans="9:10" ht="14.4" x14ac:dyDescent="0.3">
      <c r="I18" s="20" t="s">
        <v>31</v>
      </c>
      <c r="J18" s="20">
        <f>COUNTIF(Students!$E$5:$E$104,I18)</f>
        <v>6</v>
      </c>
    </row>
    <row r="19" spans="9:10" ht="14.4" x14ac:dyDescent="0.3">
      <c r="I19" s="20" t="s">
        <v>32</v>
      </c>
      <c r="J19" s="20">
        <f>COUNTIF(Students!$E$5:$E$104,I19)</f>
        <v>10</v>
      </c>
    </row>
    <row r="20" spans="9:10" ht="14.4" x14ac:dyDescent="0.3">
      <c r="I20" s="20" t="s">
        <v>33</v>
      </c>
      <c r="J20" s="20">
        <f>COUNTIF(Students!$E$5:$E$104,I20)</f>
        <v>7</v>
      </c>
    </row>
    <row r="21" spans="9:10" ht="14.4" x14ac:dyDescent="0.3">
      <c r="I21" s="20" t="s">
        <v>34</v>
      </c>
      <c r="J21" s="20">
        <f>COUNTIF(Students!$E$5:$E$104,I21)</f>
        <v>7</v>
      </c>
    </row>
    <row r="22" spans="9:10" ht="14.4" x14ac:dyDescent="0.3">
      <c r="I22" s="20" t="s">
        <v>35</v>
      </c>
      <c r="J22" s="20">
        <f>COUNTIF(Students!$E$5:$E$104,I22)</f>
        <v>4</v>
      </c>
    </row>
    <row r="23" spans="9:10" ht="14.4" x14ac:dyDescent="0.3">
      <c r="I23" s="20" t="s">
        <v>36</v>
      </c>
      <c r="J23" s="20">
        <f>COUNTIF(Students!$E$5:$E$104,I23)</f>
        <v>8</v>
      </c>
    </row>
    <row r="24" spans="9:10" ht="14.4" x14ac:dyDescent="0.3">
      <c r="I24" s="20" t="s">
        <v>37</v>
      </c>
      <c r="J24" s="20">
        <f>COUNTIF(Students!$E$5:$E$104,I24)</f>
        <v>5</v>
      </c>
    </row>
    <row r="25" spans="9:10" ht="14.4" x14ac:dyDescent="0.3">
      <c r="I25" s="20" t="s">
        <v>38</v>
      </c>
      <c r="J25" s="20">
        <f>COUNTIF(Students!$E$5:$E$104,I25)</f>
        <v>6</v>
      </c>
    </row>
  </sheetData>
  <mergeCells count="13">
    <mergeCell ref="A5:C6"/>
    <mergeCell ref="D5:F6"/>
    <mergeCell ref="G5:I6"/>
    <mergeCell ref="J5:L6"/>
    <mergeCell ref="A9:D9"/>
    <mergeCell ref="F9:G9"/>
    <mergeCell ref="I9:L9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Q104"/>
  <sheetViews>
    <sheetView showGridLines="0" zoomScaleNormal="10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A2" sqref="A2:G2"/>
    </sheetView>
  </sheetViews>
  <sheetFormatPr defaultColWidth="8.6640625" defaultRowHeight="15" customHeight="1" x14ac:dyDescent="0.3"/>
  <cols>
    <col min="1" max="1" width="11" customWidth="1"/>
    <col min="2" max="2" width="24" customWidth="1"/>
    <col min="3" max="3" width="16" customWidth="1"/>
    <col min="4" max="4" width="32" customWidth="1"/>
    <col min="5" max="5" width="18" customWidth="1"/>
    <col min="6" max="7" width="24" customWidth="1"/>
    <col min="8" max="9" width="13" customWidth="1"/>
    <col min="10" max="10" width="15" customWidth="1"/>
    <col min="11" max="11" width="13" customWidth="1"/>
    <col min="12" max="12" width="18" customWidth="1"/>
    <col min="13" max="13" width="13" customWidth="1"/>
    <col min="14" max="15" width="12" customWidth="1"/>
    <col min="16" max="16" width="13" customWidth="1"/>
    <col min="17" max="17" width="12" customWidth="1"/>
  </cols>
  <sheetData>
    <row r="1" spans="1:17" ht="37.5" customHeight="1" x14ac:dyDescent="0.3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1.75" customHeight="1" x14ac:dyDescent="0.3">
      <c r="A2" s="6" t="s">
        <v>40</v>
      </c>
      <c r="B2" s="6"/>
      <c r="C2" s="6"/>
      <c r="D2" s="6"/>
      <c r="E2" s="6"/>
      <c r="F2" s="6"/>
      <c r="G2" s="6"/>
      <c r="H2" s="5" t="s">
        <v>41</v>
      </c>
      <c r="I2" s="5"/>
      <c r="J2" s="5"/>
      <c r="K2" s="4" t="s">
        <v>42</v>
      </c>
      <c r="L2" s="4"/>
      <c r="M2" s="4"/>
      <c r="N2" s="6" t="s">
        <v>43</v>
      </c>
      <c r="O2" s="6"/>
      <c r="P2" s="6"/>
      <c r="Q2" s="6"/>
    </row>
    <row r="3" spans="1:17" ht="19.5" customHeight="1" x14ac:dyDescent="0.3">
      <c r="A3" s="3" t="s">
        <v>44</v>
      </c>
      <c r="B3" s="3"/>
      <c r="C3" s="3"/>
      <c r="D3" s="3"/>
      <c r="E3" s="3"/>
      <c r="F3" s="3"/>
      <c r="G3" s="3"/>
      <c r="H3" s="2" t="s">
        <v>45</v>
      </c>
      <c r="I3" s="2"/>
      <c r="J3" s="2"/>
      <c r="K3" s="2"/>
      <c r="L3" s="2"/>
      <c r="M3" s="2"/>
      <c r="N3" s="1" t="s">
        <v>46</v>
      </c>
      <c r="O3" s="1"/>
      <c r="P3" s="1"/>
      <c r="Q3" s="1"/>
    </row>
    <row r="4" spans="1:17" ht="31.5" customHeight="1" x14ac:dyDescent="0.3">
      <c r="A4" s="23" t="s">
        <v>47</v>
      </c>
      <c r="B4" s="23" t="s">
        <v>48</v>
      </c>
      <c r="C4" s="23" t="s">
        <v>49</v>
      </c>
      <c r="D4" s="23" t="s">
        <v>50</v>
      </c>
      <c r="E4" s="23" t="s">
        <v>15</v>
      </c>
      <c r="F4" s="23" t="s">
        <v>51</v>
      </c>
      <c r="G4" s="23" t="s">
        <v>52</v>
      </c>
      <c r="H4" s="23" t="s">
        <v>16</v>
      </c>
      <c r="I4" s="23" t="s">
        <v>19</v>
      </c>
      <c r="J4" s="23" t="s">
        <v>22</v>
      </c>
      <c r="K4" s="23" t="s">
        <v>24</v>
      </c>
      <c r="L4" s="23" t="s">
        <v>26</v>
      </c>
      <c r="M4" s="23" t="s">
        <v>28</v>
      </c>
      <c r="N4" s="23" t="s">
        <v>53</v>
      </c>
      <c r="O4" s="23" t="s">
        <v>54</v>
      </c>
      <c r="P4" s="23" t="s">
        <v>55</v>
      </c>
      <c r="Q4" s="23" t="s">
        <v>13</v>
      </c>
    </row>
    <row r="5" spans="1:17" ht="15" customHeight="1" x14ac:dyDescent="0.3">
      <c r="A5" s="24">
        <v>1</v>
      </c>
      <c r="B5" s="24" t="s">
        <v>56</v>
      </c>
      <c r="C5" s="25" t="s">
        <v>57</v>
      </c>
      <c r="D5" s="24" t="s">
        <v>58</v>
      </c>
      <c r="E5" s="24" t="s">
        <v>34</v>
      </c>
      <c r="F5" s="24" t="s">
        <v>59</v>
      </c>
      <c r="G5" s="24" t="s">
        <v>60</v>
      </c>
      <c r="H5" s="26">
        <v>62</v>
      </c>
      <c r="I5" s="26">
        <v>64</v>
      </c>
      <c r="J5" s="26">
        <v>38</v>
      </c>
      <c r="K5" s="26">
        <v>60</v>
      </c>
      <c r="L5" s="26">
        <v>88</v>
      </c>
      <c r="M5" s="26">
        <v>63</v>
      </c>
      <c r="N5" s="24">
        <f t="shared" ref="N5:N36" si="0">SUM(H5:M5)</f>
        <v>375</v>
      </c>
      <c r="O5" s="27">
        <f t="shared" ref="O5:O36" si="1">AVERAGE(H5:M5)</f>
        <v>62.5</v>
      </c>
      <c r="P5" s="28">
        <f t="shared" ref="P5:P36" si="2">N5/(COUNT(H5:M5)*100)</f>
        <v>0.625</v>
      </c>
      <c r="Q5" s="29" t="str">
        <f t="shared" ref="Q5:Q36" si="3">IF(P5&lt;0.3,"Fail","Pass")</f>
        <v>Pass</v>
      </c>
    </row>
    <row r="6" spans="1:17" ht="15" customHeight="1" x14ac:dyDescent="0.3">
      <c r="A6" s="30">
        <v>2</v>
      </c>
      <c r="B6" s="30" t="s">
        <v>61</v>
      </c>
      <c r="C6" s="31" t="s">
        <v>62</v>
      </c>
      <c r="D6" s="30" t="s">
        <v>63</v>
      </c>
      <c r="E6" s="30" t="s">
        <v>25</v>
      </c>
      <c r="F6" s="30" t="s">
        <v>64</v>
      </c>
      <c r="G6" s="30" t="s">
        <v>65</v>
      </c>
      <c r="H6" s="32">
        <v>79</v>
      </c>
      <c r="I6" s="32">
        <v>68</v>
      </c>
      <c r="J6" s="32">
        <v>40</v>
      </c>
      <c r="K6" s="33">
        <v>93</v>
      </c>
      <c r="L6" s="32">
        <v>50</v>
      </c>
      <c r="M6" s="32">
        <v>83</v>
      </c>
      <c r="N6" s="30">
        <f t="shared" si="0"/>
        <v>413</v>
      </c>
      <c r="O6" s="34">
        <f t="shared" si="1"/>
        <v>68.833333333333329</v>
      </c>
      <c r="P6" s="35">
        <f t="shared" si="2"/>
        <v>0.68833333333333335</v>
      </c>
      <c r="Q6" s="36" t="str">
        <f t="shared" si="3"/>
        <v>Pass</v>
      </c>
    </row>
    <row r="7" spans="1:17" ht="15" customHeight="1" x14ac:dyDescent="0.3">
      <c r="A7" s="24">
        <v>3</v>
      </c>
      <c r="B7" s="24" t="s">
        <v>66</v>
      </c>
      <c r="C7" s="25" t="s">
        <v>67</v>
      </c>
      <c r="D7" s="24" t="s">
        <v>68</v>
      </c>
      <c r="E7" s="24" t="s">
        <v>37</v>
      </c>
      <c r="F7" s="24" t="s">
        <v>69</v>
      </c>
      <c r="G7" s="24" t="s">
        <v>70</v>
      </c>
      <c r="H7" s="26">
        <v>81</v>
      </c>
      <c r="I7" s="26">
        <v>55</v>
      </c>
      <c r="J7" s="26">
        <v>82</v>
      </c>
      <c r="K7" s="26">
        <v>80</v>
      </c>
      <c r="L7" s="26">
        <v>61</v>
      </c>
      <c r="M7" s="26">
        <v>69</v>
      </c>
      <c r="N7" s="24">
        <f t="shared" si="0"/>
        <v>428</v>
      </c>
      <c r="O7" s="27">
        <f t="shared" si="1"/>
        <v>71.333333333333329</v>
      </c>
      <c r="P7" s="28">
        <f t="shared" si="2"/>
        <v>0.71333333333333337</v>
      </c>
      <c r="Q7" s="29" t="str">
        <f t="shared" si="3"/>
        <v>Pass</v>
      </c>
    </row>
    <row r="8" spans="1:17" ht="15" customHeight="1" x14ac:dyDescent="0.3">
      <c r="A8" s="30">
        <v>4</v>
      </c>
      <c r="B8" s="30" t="s">
        <v>71</v>
      </c>
      <c r="C8" s="31" t="s">
        <v>72</v>
      </c>
      <c r="D8" s="30" t="s">
        <v>73</v>
      </c>
      <c r="E8" s="30" t="s">
        <v>29</v>
      </c>
      <c r="F8" s="30" t="s">
        <v>74</v>
      </c>
      <c r="G8" s="30" t="s">
        <v>75</v>
      </c>
      <c r="H8" s="32">
        <v>86</v>
      </c>
      <c r="I8" s="32">
        <v>69</v>
      </c>
      <c r="J8" s="32">
        <v>43</v>
      </c>
      <c r="K8" s="32">
        <v>62</v>
      </c>
      <c r="L8" s="32">
        <v>75</v>
      </c>
      <c r="M8" s="32">
        <v>62</v>
      </c>
      <c r="N8" s="30">
        <f t="shared" si="0"/>
        <v>397</v>
      </c>
      <c r="O8" s="34">
        <f t="shared" si="1"/>
        <v>66.166666666666671</v>
      </c>
      <c r="P8" s="35">
        <f t="shared" si="2"/>
        <v>0.66166666666666663</v>
      </c>
      <c r="Q8" s="36" t="str">
        <f t="shared" si="3"/>
        <v>Pass</v>
      </c>
    </row>
    <row r="9" spans="1:17" ht="15" customHeight="1" x14ac:dyDescent="0.3">
      <c r="A9" s="24">
        <v>5</v>
      </c>
      <c r="B9" s="24" t="s">
        <v>76</v>
      </c>
      <c r="C9" s="25" t="s">
        <v>77</v>
      </c>
      <c r="D9" s="24" t="s">
        <v>78</v>
      </c>
      <c r="E9" s="24" t="s">
        <v>23</v>
      </c>
      <c r="F9" s="24" t="s">
        <v>79</v>
      </c>
      <c r="G9" s="24" t="s">
        <v>80</v>
      </c>
      <c r="H9" s="26">
        <v>81</v>
      </c>
      <c r="I9" s="26">
        <v>63</v>
      </c>
      <c r="J9" s="26">
        <v>52</v>
      </c>
      <c r="K9" s="33">
        <v>98</v>
      </c>
      <c r="L9" s="26">
        <v>46</v>
      </c>
      <c r="M9" s="26">
        <v>41</v>
      </c>
      <c r="N9" s="24">
        <f t="shared" si="0"/>
        <v>381</v>
      </c>
      <c r="O9" s="27">
        <f t="shared" si="1"/>
        <v>63.5</v>
      </c>
      <c r="P9" s="28">
        <f t="shared" si="2"/>
        <v>0.63500000000000001</v>
      </c>
      <c r="Q9" s="29" t="str">
        <f t="shared" si="3"/>
        <v>Pass</v>
      </c>
    </row>
    <row r="10" spans="1:17" ht="15" customHeight="1" x14ac:dyDescent="0.3">
      <c r="A10" s="30">
        <v>6</v>
      </c>
      <c r="B10" s="30" t="s">
        <v>81</v>
      </c>
      <c r="C10" s="31" t="s">
        <v>82</v>
      </c>
      <c r="D10" s="30" t="s">
        <v>83</v>
      </c>
      <c r="E10" s="30" t="s">
        <v>34</v>
      </c>
      <c r="F10" s="30" t="s">
        <v>84</v>
      </c>
      <c r="G10" s="30" t="s">
        <v>85</v>
      </c>
      <c r="H10" s="32">
        <v>69</v>
      </c>
      <c r="I10" s="32">
        <v>78</v>
      </c>
      <c r="J10" s="32">
        <v>49</v>
      </c>
      <c r="K10" s="32">
        <v>72</v>
      </c>
      <c r="L10" s="32">
        <v>90</v>
      </c>
      <c r="M10" s="32">
        <v>55</v>
      </c>
      <c r="N10" s="30">
        <f t="shared" si="0"/>
        <v>413</v>
      </c>
      <c r="O10" s="34">
        <f t="shared" si="1"/>
        <v>68.833333333333329</v>
      </c>
      <c r="P10" s="35">
        <f t="shared" si="2"/>
        <v>0.68833333333333335</v>
      </c>
      <c r="Q10" s="36" t="str">
        <f t="shared" si="3"/>
        <v>Pass</v>
      </c>
    </row>
    <row r="11" spans="1:17" ht="15" customHeight="1" x14ac:dyDescent="0.3">
      <c r="A11" s="24">
        <v>7</v>
      </c>
      <c r="B11" s="24" t="s">
        <v>86</v>
      </c>
      <c r="C11" s="25" t="s">
        <v>87</v>
      </c>
      <c r="D11" s="24" t="s">
        <v>88</v>
      </c>
      <c r="E11" s="24" t="s">
        <v>30</v>
      </c>
      <c r="F11" s="24" t="s">
        <v>89</v>
      </c>
      <c r="G11" s="24" t="s">
        <v>90</v>
      </c>
      <c r="H11" s="26">
        <v>76</v>
      </c>
      <c r="I11" s="33">
        <v>97</v>
      </c>
      <c r="J11" s="26">
        <v>37</v>
      </c>
      <c r="K11" s="26">
        <v>49</v>
      </c>
      <c r="L11" s="26">
        <v>81</v>
      </c>
      <c r="M11" s="26">
        <v>74</v>
      </c>
      <c r="N11" s="24">
        <f t="shared" si="0"/>
        <v>414</v>
      </c>
      <c r="O11" s="27">
        <f t="shared" si="1"/>
        <v>69</v>
      </c>
      <c r="P11" s="28">
        <f t="shared" si="2"/>
        <v>0.69</v>
      </c>
      <c r="Q11" s="29" t="str">
        <f t="shared" si="3"/>
        <v>Pass</v>
      </c>
    </row>
    <row r="12" spans="1:17" ht="15" customHeight="1" x14ac:dyDescent="0.3">
      <c r="A12" s="30">
        <v>8</v>
      </c>
      <c r="B12" s="30" t="s">
        <v>91</v>
      </c>
      <c r="C12" s="31" t="s">
        <v>92</v>
      </c>
      <c r="D12" s="30" t="s">
        <v>93</v>
      </c>
      <c r="E12" s="30" t="s">
        <v>34</v>
      </c>
      <c r="F12" s="30" t="s">
        <v>94</v>
      </c>
      <c r="G12" s="30" t="s">
        <v>95</v>
      </c>
      <c r="H12" s="32">
        <v>89</v>
      </c>
      <c r="I12" s="32">
        <v>62</v>
      </c>
      <c r="J12" s="32">
        <v>60</v>
      </c>
      <c r="K12" s="32">
        <v>74</v>
      </c>
      <c r="L12" s="32">
        <v>86</v>
      </c>
      <c r="M12" s="32">
        <v>82</v>
      </c>
      <c r="N12" s="30">
        <f t="shared" si="0"/>
        <v>453</v>
      </c>
      <c r="O12" s="34">
        <f t="shared" si="1"/>
        <v>75.5</v>
      </c>
      <c r="P12" s="35">
        <f t="shared" si="2"/>
        <v>0.755</v>
      </c>
      <c r="Q12" s="36" t="str">
        <f t="shared" si="3"/>
        <v>Pass</v>
      </c>
    </row>
    <row r="13" spans="1:17" ht="15" customHeight="1" x14ac:dyDescent="0.3">
      <c r="A13" s="24">
        <v>9</v>
      </c>
      <c r="B13" s="24" t="s">
        <v>96</v>
      </c>
      <c r="C13" s="25" t="s">
        <v>97</v>
      </c>
      <c r="D13" s="24" t="s">
        <v>98</v>
      </c>
      <c r="E13" s="24" t="s">
        <v>29</v>
      </c>
      <c r="F13" s="24" t="s">
        <v>99</v>
      </c>
      <c r="G13" s="24" t="s">
        <v>100</v>
      </c>
      <c r="H13" s="37">
        <v>11</v>
      </c>
      <c r="I13" s="37">
        <v>22</v>
      </c>
      <c r="J13" s="37">
        <v>10</v>
      </c>
      <c r="K13" s="26">
        <v>43</v>
      </c>
      <c r="L13" s="37">
        <v>16</v>
      </c>
      <c r="M13" s="37">
        <v>26</v>
      </c>
      <c r="N13" s="38">
        <f t="shared" si="0"/>
        <v>128</v>
      </c>
      <c r="O13" s="39">
        <f t="shared" si="1"/>
        <v>21.333333333333332</v>
      </c>
      <c r="P13" s="40">
        <f t="shared" si="2"/>
        <v>0.21333333333333335</v>
      </c>
      <c r="Q13" s="38" t="str">
        <f t="shared" si="3"/>
        <v>Fail</v>
      </c>
    </row>
    <row r="14" spans="1:17" ht="15" customHeight="1" x14ac:dyDescent="0.3">
      <c r="A14" s="30">
        <v>10</v>
      </c>
      <c r="B14" s="30" t="s">
        <v>101</v>
      </c>
      <c r="C14" s="31" t="s">
        <v>102</v>
      </c>
      <c r="D14" s="30" t="s">
        <v>103</v>
      </c>
      <c r="E14" s="30" t="s">
        <v>35</v>
      </c>
      <c r="F14" s="30" t="s">
        <v>104</v>
      </c>
      <c r="G14" s="30" t="s">
        <v>105</v>
      </c>
      <c r="H14" s="32">
        <v>37</v>
      </c>
      <c r="I14" s="37">
        <v>12</v>
      </c>
      <c r="J14" s="37">
        <v>13</v>
      </c>
      <c r="K14" s="37">
        <v>25</v>
      </c>
      <c r="L14" s="32">
        <v>38</v>
      </c>
      <c r="M14" s="37">
        <v>12</v>
      </c>
      <c r="N14" s="38">
        <f t="shared" si="0"/>
        <v>137</v>
      </c>
      <c r="O14" s="39">
        <f t="shared" si="1"/>
        <v>22.833333333333332</v>
      </c>
      <c r="P14" s="40">
        <f t="shared" si="2"/>
        <v>0.22833333333333333</v>
      </c>
      <c r="Q14" s="38" t="str">
        <f t="shared" si="3"/>
        <v>Fail</v>
      </c>
    </row>
    <row r="15" spans="1:17" ht="15" customHeight="1" x14ac:dyDescent="0.3">
      <c r="A15" s="24">
        <v>11</v>
      </c>
      <c r="B15" s="24" t="s">
        <v>106</v>
      </c>
      <c r="C15" s="25" t="s">
        <v>107</v>
      </c>
      <c r="D15" s="24" t="s">
        <v>108</v>
      </c>
      <c r="E15" s="24" t="s">
        <v>34</v>
      </c>
      <c r="F15" s="24" t="s">
        <v>109</v>
      </c>
      <c r="G15" s="24" t="s">
        <v>110</v>
      </c>
      <c r="H15" s="26">
        <v>36</v>
      </c>
      <c r="I15" s="26">
        <v>46</v>
      </c>
      <c r="J15" s="26">
        <v>65</v>
      </c>
      <c r="K15" s="26">
        <v>56</v>
      </c>
      <c r="L15" s="26">
        <v>87</v>
      </c>
      <c r="M15" s="33">
        <v>97</v>
      </c>
      <c r="N15" s="24">
        <f t="shared" si="0"/>
        <v>387</v>
      </c>
      <c r="O15" s="27">
        <f t="shared" si="1"/>
        <v>64.5</v>
      </c>
      <c r="P15" s="28">
        <f t="shared" si="2"/>
        <v>0.64500000000000002</v>
      </c>
      <c r="Q15" s="29" t="str">
        <f t="shared" si="3"/>
        <v>Pass</v>
      </c>
    </row>
    <row r="16" spans="1:17" ht="15" customHeight="1" x14ac:dyDescent="0.3">
      <c r="A16" s="30">
        <v>12</v>
      </c>
      <c r="B16" s="30" t="s">
        <v>111</v>
      </c>
      <c r="C16" s="31" t="s">
        <v>112</v>
      </c>
      <c r="D16" s="30" t="s">
        <v>113</v>
      </c>
      <c r="E16" s="30" t="s">
        <v>27</v>
      </c>
      <c r="F16" s="30" t="s">
        <v>114</v>
      </c>
      <c r="G16" s="30" t="s">
        <v>115</v>
      </c>
      <c r="H16" s="32">
        <v>62</v>
      </c>
      <c r="I16" s="32">
        <v>42</v>
      </c>
      <c r="J16" s="32">
        <v>42</v>
      </c>
      <c r="K16" s="32">
        <v>75</v>
      </c>
      <c r="L16" s="32">
        <v>42</v>
      </c>
      <c r="M16" s="32">
        <v>41</v>
      </c>
      <c r="N16" s="30">
        <f t="shared" si="0"/>
        <v>304</v>
      </c>
      <c r="O16" s="34">
        <f t="shared" si="1"/>
        <v>50.666666666666664</v>
      </c>
      <c r="P16" s="35">
        <f t="shared" si="2"/>
        <v>0.50666666666666671</v>
      </c>
      <c r="Q16" s="36" t="str">
        <f t="shared" si="3"/>
        <v>Pass</v>
      </c>
    </row>
    <row r="17" spans="1:17" ht="15" customHeight="1" x14ac:dyDescent="0.3">
      <c r="A17" s="24">
        <v>13</v>
      </c>
      <c r="B17" s="24" t="s">
        <v>116</v>
      </c>
      <c r="C17" s="25" t="s">
        <v>117</v>
      </c>
      <c r="D17" s="24" t="s">
        <v>118</v>
      </c>
      <c r="E17" s="24" t="s">
        <v>30</v>
      </c>
      <c r="F17" s="24" t="s">
        <v>119</v>
      </c>
      <c r="G17" s="24" t="s">
        <v>90</v>
      </c>
      <c r="H17" s="37">
        <v>14</v>
      </c>
      <c r="I17" s="26">
        <v>43</v>
      </c>
      <c r="J17" s="37">
        <v>12</v>
      </c>
      <c r="K17" s="26">
        <v>44</v>
      </c>
      <c r="L17" s="37">
        <v>11</v>
      </c>
      <c r="M17" s="37">
        <v>21</v>
      </c>
      <c r="N17" s="38">
        <f t="shared" si="0"/>
        <v>145</v>
      </c>
      <c r="O17" s="39">
        <f t="shared" si="1"/>
        <v>24.166666666666668</v>
      </c>
      <c r="P17" s="40">
        <f t="shared" si="2"/>
        <v>0.24166666666666667</v>
      </c>
      <c r="Q17" s="38" t="str">
        <f t="shared" si="3"/>
        <v>Fail</v>
      </c>
    </row>
    <row r="18" spans="1:17" ht="15" customHeight="1" x14ac:dyDescent="0.3">
      <c r="A18" s="30">
        <v>14</v>
      </c>
      <c r="B18" s="30" t="s">
        <v>120</v>
      </c>
      <c r="C18" s="31" t="s">
        <v>121</v>
      </c>
      <c r="D18" s="30" t="s">
        <v>122</v>
      </c>
      <c r="E18" s="30" t="s">
        <v>18</v>
      </c>
      <c r="F18" s="30" t="s">
        <v>123</v>
      </c>
      <c r="G18" s="30" t="s">
        <v>124</v>
      </c>
      <c r="H18" s="32">
        <v>68</v>
      </c>
      <c r="I18" s="32">
        <v>51</v>
      </c>
      <c r="J18" s="32">
        <v>79</v>
      </c>
      <c r="K18" s="32">
        <v>43</v>
      </c>
      <c r="L18" s="32">
        <v>66</v>
      </c>
      <c r="M18" s="32">
        <v>82</v>
      </c>
      <c r="N18" s="30">
        <f t="shared" si="0"/>
        <v>389</v>
      </c>
      <c r="O18" s="34">
        <f t="shared" si="1"/>
        <v>64.833333333333329</v>
      </c>
      <c r="P18" s="35">
        <f t="shared" si="2"/>
        <v>0.64833333333333332</v>
      </c>
      <c r="Q18" s="36" t="str">
        <f t="shared" si="3"/>
        <v>Pass</v>
      </c>
    </row>
    <row r="19" spans="1:17" ht="15" customHeight="1" x14ac:dyDescent="0.3">
      <c r="A19" s="24">
        <v>15</v>
      </c>
      <c r="B19" s="24" t="s">
        <v>125</v>
      </c>
      <c r="C19" s="25" t="s">
        <v>126</v>
      </c>
      <c r="D19" s="24" t="s">
        <v>127</v>
      </c>
      <c r="E19" s="24" t="s">
        <v>18</v>
      </c>
      <c r="F19" s="24" t="s">
        <v>128</v>
      </c>
      <c r="G19" s="24" t="s">
        <v>129</v>
      </c>
      <c r="H19" s="26">
        <v>71</v>
      </c>
      <c r="I19" s="26">
        <v>61</v>
      </c>
      <c r="J19" s="26">
        <v>78</v>
      </c>
      <c r="K19" s="26">
        <v>61</v>
      </c>
      <c r="L19" s="26">
        <v>68</v>
      </c>
      <c r="M19" s="33">
        <v>97</v>
      </c>
      <c r="N19" s="24">
        <f t="shared" si="0"/>
        <v>436</v>
      </c>
      <c r="O19" s="27">
        <f t="shared" si="1"/>
        <v>72.666666666666671</v>
      </c>
      <c r="P19" s="28">
        <f t="shared" si="2"/>
        <v>0.72666666666666668</v>
      </c>
      <c r="Q19" s="29" t="str">
        <f t="shared" si="3"/>
        <v>Pass</v>
      </c>
    </row>
    <row r="20" spans="1:17" ht="15" customHeight="1" x14ac:dyDescent="0.3">
      <c r="A20" s="30">
        <v>16</v>
      </c>
      <c r="B20" s="30" t="s">
        <v>130</v>
      </c>
      <c r="C20" s="31" t="s">
        <v>131</v>
      </c>
      <c r="D20" s="30" t="s">
        <v>132</v>
      </c>
      <c r="E20" s="30" t="s">
        <v>32</v>
      </c>
      <c r="F20" s="30" t="s">
        <v>133</v>
      </c>
      <c r="G20" s="30" t="s">
        <v>134</v>
      </c>
      <c r="H20" s="32">
        <v>44</v>
      </c>
      <c r="I20" s="32">
        <v>54</v>
      </c>
      <c r="J20" s="32">
        <v>39</v>
      </c>
      <c r="K20" s="32">
        <v>82</v>
      </c>
      <c r="L20" s="32">
        <v>53</v>
      </c>
      <c r="M20" s="32">
        <v>90</v>
      </c>
      <c r="N20" s="30">
        <f t="shared" si="0"/>
        <v>362</v>
      </c>
      <c r="O20" s="34">
        <f t="shared" si="1"/>
        <v>60.333333333333336</v>
      </c>
      <c r="P20" s="35">
        <f t="shared" si="2"/>
        <v>0.60333333333333339</v>
      </c>
      <c r="Q20" s="36" t="str">
        <f t="shared" si="3"/>
        <v>Pass</v>
      </c>
    </row>
    <row r="21" spans="1:17" ht="15" customHeight="1" x14ac:dyDescent="0.3">
      <c r="A21" s="24">
        <v>17</v>
      </c>
      <c r="B21" s="24" t="s">
        <v>135</v>
      </c>
      <c r="C21" s="25" t="s">
        <v>136</v>
      </c>
      <c r="D21" s="24" t="s">
        <v>137</v>
      </c>
      <c r="E21" s="24" t="s">
        <v>18</v>
      </c>
      <c r="F21" s="24" t="s">
        <v>138</v>
      </c>
      <c r="G21" s="24" t="s">
        <v>139</v>
      </c>
      <c r="H21" s="37">
        <v>26</v>
      </c>
      <c r="I21" s="37">
        <v>12</v>
      </c>
      <c r="J21" s="37">
        <v>15</v>
      </c>
      <c r="K21" s="26">
        <v>40</v>
      </c>
      <c r="L21" s="26">
        <v>34</v>
      </c>
      <c r="M21" s="37">
        <v>18</v>
      </c>
      <c r="N21" s="38">
        <f t="shared" si="0"/>
        <v>145</v>
      </c>
      <c r="O21" s="39">
        <f t="shared" si="1"/>
        <v>24.166666666666668</v>
      </c>
      <c r="P21" s="40">
        <f t="shared" si="2"/>
        <v>0.24166666666666667</v>
      </c>
      <c r="Q21" s="38" t="str">
        <f t="shared" si="3"/>
        <v>Fail</v>
      </c>
    </row>
    <row r="22" spans="1:17" ht="15" customHeight="1" x14ac:dyDescent="0.3">
      <c r="A22" s="30">
        <v>18</v>
      </c>
      <c r="B22" s="30" t="s">
        <v>140</v>
      </c>
      <c r="C22" s="31" t="s">
        <v>141</v>
      </c>
      <c r="D22" s="30" t="s">
        <v>142</v>
      </c>
      <c r="E22" s="30" t="s">
        <v>36</v>
      </c>
      <c r="F22" s="30" t="s">
        <v>143</v>
      </c>
      <c r="G22" s="30" t="s">
        <v>144</v>
      </c>
      <c r="H22" s="32">
        <v>70</v>
      </c>
      <c r="I22" s="32">
        <v>43</v>
      </c>
      <c r="J22" s="32">
        <v>70</v>
      </c>
      <c r="K22" s="32">
        <v>79</v>
      </c>
      <c r="L22" s="32">
        <v>86</v>
      </c>
      <c r="M22" s="32">
        <v>77</v>
      </c>
      <c r="N22" s="30">
        <f t="shared" si="0"/>
        <v>425</v>
      </c>
      <c r="O22" s="34">
        <f t="shared" si="1"/>
        <v>70.833333333333329</v>
      </c>
      <c r="P22" s="35">
        <f t="shared" si="2"/>
        <v>0.70833333333333337</v>
      </c>
      <c r="Q22" s="36" t="str">
        <f t="shared" si="3"/>
        <v>Pass</v>
      </c>
    </row>
    <row r="23" spans="1:17" ht="15" customHeight="1" x14ac:dyDescent="0.3">
      <c r="A23" s="24">
        <v>19</v>
      </c>
      <c r="B23" s="24" t="s">
        <v>145</v>
      </c>
      <c r="C23" s="25" t="s">
        <v>146</v>
      </c>
      <c r="D23" s="24" t="s">
        <v>147</v>
      </c>
      <c r="E23" s="24" t="s">
        <v>38</v>
      </c>
      <c r="F23" s="24" t="s">
        <v>148</v>
      </c>
      <c r="G23" s="24" t="s">
        <v>149</v>
      </c>
      <c r="H23" s="26">
        <v>59</v>
      </c>
      <c r="I23" s="26">
        <v>67</v>
      </c>
      <c r="J23" s="26">
        <v>40</v>
      </c>
      <c r="K23" s="26">
        <v>90</v>
      </c>
      <c r="L23" s="26">
        <v>35</v>
      </c>
      <c r="M23" s="26">
        <v>60</v>
      </c>
      <c r="N23" s="24">
        <f t="shared" si="0"/>
        <v>351</v>
      </c>
      <c r="O23" s="27">
        <f t="shared" si="1"/>
        <v>58.5</v>
      </c>
      <c r="P23" s="28">
        <f t="shared" si="2"/>
        <v>0.58499999999999996</v>
      </c>
      <c r="Q23" s="29" t="str">
        <f t="shared" si="3"/>
        <v>Pass</v>
      </c>
    </row>
    <row r="24" spans="1:17" ht="15" customHeight="1" x14ac:dyDescent="0.3">
      <c r="A24" s="30">
        <v>20</v>
      </c>
      <c r="B24" s="30" t="s">
        <v>150</v>
      </c>
      <c r="C24" s="31" t="s">
        <v>151</v>
      </c>
      <c r="D24" s="30" t="s">
        <v>152</v>
      </c>
      <c r="E24" s="30" t="s">
        <v>21</v>
      </c>
      <c r="F24" s="30" t="s">
        <v>153</v>
      </c>
      <c r="G24" s="30" t="s">
        <v>154</v>
      </c>
      <c r="H24" s="32">
        <v>59</v>
      </c>
      <c r="I24" s="32">
        <v>88</v>
      </c>
      <c r="J24" s="32">
        <v>83</v>
      </c>
      <c r="K24" s="32">
        <v>57</v>
      </c>
      <c r="L24" s="32">
        <v>73</v>
      </c>
      <c r="M24" s="32">
        <v>86</v>
      </c>
      <c r="N24" s="30">
        <f t="shared" si="0"/>
        <v>446</v>
      </c>
      <c r="O24" s="34">
        <f t="shared" si="1"/>
        <v>74.333333333333329</v>
      </c>
      <c r="P24" s="35">
        <f t="shared" si="2"/>
        <v>0.74333333333333329</v>
      </c>
      <c r="Q24" s="36" t="str">
        <f t="shared" si="3"/>
        <v>Pass</v>
      </c>
    </row>
    <row r="25" spans="1:17" ht="15" customHeight="1" x14ac:dyDescent="0.3">
      <c r="A25" s="24">
        <v>21</v>
      </c>
      <c r="B25" s="24" t="s">
        <v>155</v>
      </c>
      <c r="C25" s="25" t="s">
        <v>156</v>
      </c>
      <c r="D25" s="24" t="s">
        <v>157</v>
      </c>
      <c r="E25" s="24" t="s">
        <v>32</v>
      </c>
      <c r="F25" s="24" t="s">
        <v>158</v>
      </c>
      <c r="G25" s="24" t="s">
        <v>159</v>
      </c>
      <c r="H25" s="26">
        <v>77</v>
      </c>
      <c r="I25" s="26">
        <v>46</v>
      </c>
      <c r="J25" s="26">
        <v>65</v>
      </c>
      <c r="K25" s="26">
        <v>74</v>
      </c>
      <c r="L25" s="26">
        <v>63</v>
      </c>
      <c r="M25" s="26">
        <v>60</v>
      </c>
      <c r="N25" s="24">
        <f t="shared" si="0"/>
        <v>385</v>
      </c>
      <c r="O25" s="27">
        <f t="shared" si="1"/>
        <v>64.166666666666671</v>
      </c>
      <c r="P25" s="28">
        <f t="shared" si="2"/>
        <v>0.64166666666666672</v>
      </c>
      <c r="Q25" s="29" t="str">
        <f t="shared" si="3"/>
        <v>Pass</v>
      </c>
    </row>
    <row r="26" spans="1:17" ht="15" customHeight="1" x14ac:dyDescent="0.3">
      <c r="A26" s="30">
        <v>22</v>
      </c>
      <c r="B26" s="30" t="s">
        <v>160</v>
      </c>
      <c r="C26" s="31" t="s">
        <v>161</v>
      </c>
      <c r="D26" s="30" t="s">
        <v>162</v>
      </c>
      <c r="E26" s="30" t="s">
        <v>36</v>
      </c>
      <c r="F26" s="30" t="s">
        <v>163</v>
      </c>
      <c r="G26" s="30" t="s">
        <v>164</v>
      </c>
      <c r="H26" s="32">
        <v>35</v>
      </c>
      <c r="I26" s="32">
        <v>48</v>
      </c>
      <c r="J26" s="32">
        <v>89</v>
      </c>
      <c r="K26" s="32">
        <v>63</v>
      </c>
      <c r="L26" s="32">
        <v>57</v>
      </c>
      <c r="M26" s="33">
        <v>94</v>
      </c>
      <c r="N26" s="30">
        <f t="shared" si="0"/>
        <v>386</v>
      </c>
      <c r="O26" s="34">
        <f t="shared" si="1"/>
        <v>64.333333333333329</v>
      </c>
      <c r="P26" s="35">
        <f t="shared" si="2"/>
        <v>0.64333333333333331</v>
      </c>
      <c r="Q26" s="36" t="str">
        <f t="shared" si="3"/>
        <v>Pass</v>
      </c>
    </row>
    <row r="27" spans="1:17" ht="15" customHeight="1" x14ac:dyDescent="0.3">
      <c r="A27" s="24">
        <v>23</v>
      </c>
      <c r="B27" s="24" t="s">
        <v>165</v>
      </c>
      <c r="C27" s="25" t="s">
        <v>166</v>
      </c>
      <c r="D27" s="24" t="s">
        <v>167</v>
      </c>
      <c r="E27" s="24" t="s">
        <v>23</v>
      </c>
      <c r="F27" s="24" t="s">
        <v>168</v>
      </c>
      <c r="G27" s="24" t="s">
        <v>169</v>
      </c>
      <c r="H27" s="33">
        <v>92</v>
      </c>
      <c r="I27" s="26">
        <v>55</v>
      </c>
      <c r="J27" s="33">
        <v>95</v>
      </c>
      <c r="K27" s="33">
        <v>92</v>
      </c>
      <c r="L27" s="26">
        <v>68</v>
      </c>
      <c r="M27" s="26">
        <v>66</v>
      </c>
      <c r="N27" s="24">
        <f t="shared" si="0"/>
        <v>468</v>
      </c>
      <c r="O27" s="27">
        <f t="shared" si="1"/>
        <v>78</v>
      </c>
      <c r="P27" s="28">
        <f t="shared" si="2"/>
        <v>0.78</v>
      </c>
      <c r="Q27" s="29" t="str">
        <f t="shared" si="3"/>
        <v>Pass</v>
      </c>
    </row>
    <row r="28" spans="1:17" ht="15" customHeight="1" x14ac:dyDescent="0.3">
      <c r="A28" s="30">
        <v>24</v>
      </c>
      <c r="B28" s="30" t="s">
        <v>170</v>
      </c>
      <c r="C28" s="31" t="s">
        <v>171</v>
      </c>
      <c r="D28" s="30" t="s">
        <v>172</v>
      </c>
      <c r="E28" s="30" t="s">
        <v>33</v>
      </c>
      <c r="F28" s="30" t="s">
        <v>173</v>
      </c>
      <c r="G28" s="30" t="s">
        <v>174</v>
      </c>
      <c r="H28" s="37">
        <v>12</v>
      </c>
      <c r="I28" s="37">
        <v>23</v>
      </c>
      <c r="J28" s="37">
        <v>13</v>
      </c>
      <c r="K28" s="32">
        <v>43</v>
      </c>
      <c r="L28" s="32">
        <v>35</v>
      </c>
      <c r="M28" s="37">
        <v>11</v>
      </c>
      <c r="N28" s="38">
        <f t="shared" si="0"/>
        <v>137</v>
      </c>
      <c r="O28" s="39">
        <f t="shared" si="1"/>
        <v>22.833333333333332</v>
      </c>
      <c r="P28" s="40">
        <f t="shared" si="2"/>
        <v>0.22833333333333333</v>
      </c>
      <c r="Q28" s="38" t="str">
        <f t="shared" si="3"/>
        <v>Fail</v>
      </c>
    </row>
    <row r="29" spans="1:17" ht="15" customHeight="1" x14ac:dyDescent="0.3">
      <c r="A29" s="24">
        <v>25</v>
      </c>
      <c r="B29" s="24" t="s">
        <v>175</v>
      </c>
      <c r="C29" s="25" t="s">
        <v>176</v>
      </c>
      <c r="D29" s="24" t="s">
        <v>177</v>
      </c>
      <c r="E29" s="24" t="s">
        <v>33</v>
      </c>
      <c r="F29" s="24" t="s">
        <v>178</v>
      </c>
      <c r="G29" s="24" t="s">
        <v>179</v>
      </c>
      <c r="H29" s="26">
        <v>84</v>
      </c>
      <c r="I29" s="26">
        <v>88</v>
      </c>
      <c r="J29" s="26">
        <v>63</v>
      </c>
      <c r="K29" s="33">
        <v>97</v>
      </c>
      <c r="L29" s="26">
        <v>63</v>
      </c>
      <c r="M29" s="26">
        <v>69</v>
      </c>
      <c r="N29" s="24">
        <f t="shared" si="0"/>
        <v>464</v>
      </c>
      <c r="O29" s="27">
        <f t="shared" si="1"/>
        <v>77.333333333333329</v>
      </c>
      <c r="P29" s="28">
        <f t="shared" si="2"/>
        <v>0.77333333333333332</v>
      </c>
      <c r="Q29" s="29" t="str">
        <f t="shared" si="3"/>
        <v>Pass</v>
      </c>
    </row>
    <row r="30" spans="1:17" ht="15" customHeight="1" x14ac:dyDescent="0.3">
      <c r="A30" s="30">
        <v>26</v>
      </c>
      <c r="B30" s="30" t="s">
        <v>180</v>
      </c>
      <c r="C30" s="31" t="s">
        <v>181</v>
      </c>
      <c r="D30" s="30" t="s">
        <v>182</v>
      </c>
      <c r="E30" s="30" t="s">
        <v>33</v>
      </c>
      <c r="F30" s="30" t="s">
        <v>183</v>
      </c>
      <c r="G30" s="30" t="s">
        <v>184</v>
      </c>
      <c r="H30" s="32">
        <v>89</v>
      </c>
      <c r="I30" s="32">
        <v>52</v>
      </c>
      <c r="J30" s="33">
        <v>94</v>
      </c>
      <c r="K30" s="32">
        <v>58</v>
      </c>
      <c r="L30" s="32">
        <v>41</v>
      </c>
      <c r="M30" s="32">
        <v>68</v>
      </c>
      <c r="N30" s="30">
        <f t="shared" si="0"/>
        <v>402</v>
      </c>
      <c r="O30" s="34">
        <f t="shared" si="1"/>
        <v>67</v>
      </c>
      <c r="P30" s="35">
        <f t="shared" si="2"/>
        <v>0.67</v>
      </c>
      <c r="Q30" s="36" t="str">
        <f t="shared" si="3"/>
        <v>Pass</v>
      </c>
    </row>
    <row r="31" spans="1:17" ht="15" customHeight="1" x14ac:dyDescent="0.3">
      <c r="A31" s="24">
        <v>27</v>
      </c>
      <c r="B31" s="24" t="s">
        <v>185</v>
      </c>
      <c r="C31" s="25" t="s">
        <v>186</v>
      </c>
      <c r="D31" s="24" t="s">
        <v>187</v>
      </c>
      <c r="E31" s="24" t="s">
        <v>27</v>
      </c>
      <c r="F31" s="24" t="s">
        <v>188</v>
      </c>
      <c r="G31" s="24" t="s">
        <v>189</v>
      </c>
      <c r="H31" s="26">
        <v>43</v>
      </c>
      <c r="I31" s="26">
        <v>40</v>
      </c>
      <c r="J31" s="26">
        <v>38</v>
      </c>
      <c r="K31" s="26">
        <v>66</v>
      </c>
      <c r="L31" s="26">
        <v>60</v>
      </c>
      <c r="M31" s="26">
        <v>37</v>
      </c>
      <c r="N31" s="24">
        <f t="shared" si="0"/>
        <v>284</v>
      </c>
      <c r="O31" s="27">
        <f t="shared" si="1"/>
        <v>47.333333333333336</v>
      </c>
      <c r="P31" s="28">
        <f t="shared" si="2"/>
        <v>0.47333333333333333</v>
      </c>
      <c r="Q31" s="29" t="str">
        <f t="shared" si="3"/>
        <v>Pass</v>
      </c>
    </row>
    <row r="32" spans="1:17" ht="15" customHeight="1" x14ac:dyDescent="0.3">
      <c r="A32" s="30">
        <v>28</v>
      </c>
      <c r="B32" s="30" t="s">
        <v>190</v>
      </c>
      <c r="C32" s="31" t="s">
        <v>191</v>
      </c>
      <c r="D32" s="30" t="s">
        <v>192</v>
      </c>
      <c r="E32" s="30" t="s">
        <v>27</v>
      </c>
      <c r="F32" s="30" t="s">
        <v>193</v>
      </c>
      <c r="G32" s="30" t="s">
        <v>194</v>
      </c>
      <c r="H32" s="32">
        <v>38</v>
      </c>
      <c r="I32" s="32">
        <v>74</v>
      </c>
      <c r="J32" s="32">
        <v>83</v>
      </c>
      <c r="K32" s="32">
        <v>85</v>
      </c>
      <c r="L32" s="32">
        <v>60</v>
      </c>
      <c r="M32" s="32">
        <v>44</v>
      </c>
      <c r="N32" s="30">
        <f t="shared" si="0"/>
        <v>384</v>
      </c>
      <c r="O32" s="34">
        <f t="shared" si="1"/>
        <v>64</v>
      </c>
      <c r="P32" s="35">
        <f t="shared" si="2"/>
        <v>0.64</v>
      </c>
      <c r="Q32" s="36" t="str">
        <f t="shared" si="3"/>
        <v>Pass</v>
      </c>
    </row>
    <row r="33" spans="1:17" ht="15" customHeight="1" x14ac:dyDescent="0.3">
      <c r="A33" s="24">
        <v>29</v>
      </c>
      <c r="B33" s="24" t="s">
        <v>195</v>
      </c>
      <c r="C33" s="25" t="s">
        <v>196</v>
      </c>
      <c r="D33" s="24" t="s">
        <v>197</v>
      </c>
      <c r="E33" s="24" t="s">
        <v>37</v>
      </c>
      <c r="F33" s="24" t="s">
        <v>198</v>
      </c>
      <c r="G33" s="24" t="s">
        <v>199</v>
      </c>
      <c r="H33" s="26">
        <v>88</v>
      </c>
      <c r="I33" s="33">
        <v>97</v>
      </c>
      <c r="J33" s="26">
        <v>48</v>
      </c>
      <c r="K33" s="26">
        <v>90</v>
      </c>
      <c r="L33" s="26">
        <v>81</v>
      </c>
      <c r="M33" s="33">
        <v>93</v>
      </c>
      <c r="N33" s="24">
        <f t="shared" si="0"/>
        <v>497</v>
      </c>
      <c r="O33" s="27">
        <f t="shared" si="1"/>
        <v>82.833333333333329</v>
      </c>
      <c r="P33" s="28">
        <f t="shared" si="2"/>
        <v>0.82833333333333337</v>
      </c>
      <c r="Q33" s="29" t="str">
        <f t="shared" si="3"/>
        <v>Pass</v>
      </c>
    </row>
    <row r="34" spans="1:17" ht="15" customHeight="1" x14ac:dyDescent="0.3">
      <c r="A34" s="30">
        <v>30</v>
      </c>
      <c r="B34" s="30" t="s">
        <v>200</v>
      </c>
      <c r="C34" s="31" t="s">
        <v>201</v>
      </c>
      <c r="D34" s="30" t="s">
        <v>202</v>
      </c>
      <c r="E34" s="30" t="s">
        <v>32</v>
      </c>
      <c r="F34" s="30" t="s">
        <v>203</v>
      </c>
      <c r="G34" s="30" t="s">
        <v>204</v>
      </c>
      <c r="H34" s="33">
        <v>94</v>
      </c>
      <c r="I34" s="32">
        <v>83</v>
      </c>
      <c r="J34" s="32">
        <v>78</v>
      </c>
      <c r="K34" s="32">
        <v>38</v>
      </c>
      <c r="L34" s="33">
        <v>98</v>
      </c>
      <c r="M34" s="32">
        <v>76</v>
      </c>
      <c r="N34" s="30">
        <f t="shared" si="0"/>
        <v>467</v>
      </c>
      <c r="O34" s="34">
        <f t="shared" si="1"/>
        <v>77.833333333333329</v>
      </c>
      <c r="P34" s="35">
        <f t="shared" si="2"/>
        <v>0.77833333333333332</v>
      </c>
      <c r="Q34" s="36" t="str">
        <f t="shared" si="3"/>
        <v>Pass</v>
      </c>
    </row>
    <row r="35" spans="1:17" ht="15" customHeight="1" x14ac:dyDescent="0.3">
      <c r="A35" s="24">
        <v>31</v>
      </c>
      <c r="B35" s="24" t="s">
        <v>205</v>
      </c>
      <c r="C35" s="25" t="s">
        <v>206</v>
      </c>
      <c r="D35" s="24" t="s">
        <v>207</v>
      </c>
      <c r="E35" s="24" t="s">
        <v>18</v>
      </c>
      <c r="F35" s="24" t="s">
        <v>208</v>
      </c>
      <c r="G35" s="24" t="s">
        <v>209</v>
      </c>
      <c r="H35" s="26">
        <v>65</v>
      </c>
      <c r="I35" s="33">
        <v>95</v>
      </c>
      <c r="J35" s="33">
        <v>97</v>
      </c>
      <c r="K35" s="33">
        <v>92</v>
      </c>
      <c r="L35" s="26">
        <v>37</v>
      </c>
      <c r="M35" s="26">
        <v>46</v>
      </c>
      <c r="N35" s="24">
        <f t="shared" si="0"/>
        <v>432</v>
      </c>
      <c r="O35" s="27">
        <f t="shared" si="1"/>
        <v>72</v>
      </c>
      <c r="P35" s="28">
        <f t="shared" si="2"/>
        <v>0.72</v>
      </c>
      <c r="Q35" s="29" t="str">
        <f t="shared" si="3"/>
        <v>Pass</v>
      </c>
    </row>
    <row r="36" spans="1:17" ht="15" customHeight="1" x14ac:dyDescent="0.3">
      <c r="A36" s="30">
        <v>32</v>
      </c>
      <c r="B36" s="30" t="s">
        <v>210</v>
      </c>
      <c r="C36" s="31" t="s">
        <v>211</v>
      </c>
      <c r="D36" s="30" t="s">
        <v>212</v>
      </c>
      <c r="E36" s="30" t="s">
        <v>25</v>
      </c>
      <c r="F36" s="30" t="s">
        <v>213</v>
      </c>
      <c r="G36" s="30" t="s">
        <v>214</v>
      </c>
      <c r="H36" s="32">
        <v>74</v>
      </c>
      <c r="I36" s="32">
        <v>67</v>
      </c>
      <c r="J36" s="32">
        <v>64</v>
      </c>
      <c r="K36" s="32">
        <v>50</v>
      </c>
      <c r="L36" s="32">
        <v>59</v>
      </c>
      <c r="M36" s="32">
        <v>75</v>
      </c>
      <c r="N36" s="30">
        <f t="shared" si="0"/>
        <v>389</v>
      </c>
      <c r="O36" s="34">
        <f t="shared" si="1"/>
        <v>64.833333333333329</v>
      </c>
      <c r="P36" s="35">
        <f t="shared" si="2"/>
        <v>0.64833333333333332</v>
      </c>
      <c r="Q36" s="36" t="str">
        <f t="shared" si="3"/>
        <v>Pass</v>
      </c>
    </row>
    <row r="37" spans="1:17" ht="15" customHeight="1" x14ac:dyDescent="0.3">
      <c r="A37" s="24">
        <v>33</v>
      </c>
      <c r="B37" s="24" t="s">
        <v>215</v>
      </c>
      <c r="C37" s="25" t="s">
        <v>216</v>
      </c>
      <c r="D37" s="24" t="s">
        <v>217</v>
      </c>
      <c r="E37" s="24" t="s">
        <v>21</v>
      </c>
      <c r="F37" s="24" t="s">
        <v>218</v>
      </c>
      <c r="G37" s="24" t="s">
        <v>219</v>
      </c>
      <c r="H37" s="26">
        <v>73</v>
      </c>
      <c r="I37" s="26">
        <v>36</v>
      </c>
      <c r="J37" s="26">
        <v>51</v>
      </c>
      <c r="K37" s="26">
        <v>70</v>
      </c>
      <c r="L37" s="26">
        <v>40</v>
      </c>
      <c r="M37" s="26">
        <v>41</v>
      </c>
      <c r="N37" s="24">
        <f t="shared" ref="N37:N68" si="4">SUM(H37:M37)</f>
        <v>311</v>
      </c>
      <c r="O37" s="27">
        <f t="shared" ref="O37:O68" si="5">AVERAGE(H37:M37)</f>
        <v>51.833333333333336</v>
      </c>
      <c r="P37" s="28">
        <f t="shared" ref="P37:P68" si="6">N37/(COUNT(H37:M37)*100)</f>
        <v>0.51833333333333331</v>
      </c>
      <c r="Q37" s="29" t="str">
        <f t="shared" ref="Q37:Q68" si="7">IF(P37&lt;0.3,"Fail","Pass")</f>
        <v>Pass</v>
      </c>
    </row>
    <row r="38" spans="1:17" ht="15" customHeight="1" x14ac:dyDescent="0.3">
      <c r="A38" s="30">
        <v>34</v>
      </c>
      <c r="B38" s="30" t="s">
        <v>220</v>
      </c>
      <c r="C38" s="31" t="s">
        <v>221</v>
      </c>
      <c r="D38" s="30" t="s">
        <v>222</v>
      </c>
      <c r="E38" s="30" t="s">
        <v>27</v>
      </c>
      <c r="F38" s="30" t="s">
        <v>215</v>
      </c>
      <c r="G38" s="30" t="s">
        <v>219</v>
      </c>
      <c r="H38" s="33">
        <v>96</v>
      </c>
      <c r="I38" s="32">
        <v>49</v>
      </c>
      <c r="J38" s="32">
        <v>43</v>
      </c>
      <c r="K38" s="32">
        <v>86</v>
      </c>
      <c r="L38" s="33">
        <v>97</v>
      </c>
      <c r="M38" s="32">
        <v>44</v>
      </c>
      <c r="N38" s="30">
        <f t="shared" si="4"/>
        <v>415</v>
      </c>
      <c r="O38" s="34">
        <f t="shared" si="5"/>
        <v>69.166666666666671</v>
      </c>
      <c r="P38" s="35">
        <f t="shared" si="6"/>
        <v>0.69166666666666665</v>
      </c>
      <c r="Q38" s="36" t="str">
        <f t="shared" si="7"/>
        <v>Pass</v>
      </c>
    </row>
    <row r="39" spans="1:17" ht="15" customHeight="1" x14ac:dyDescent="0.3">
      <c r="A39" s="24">
        <v>35</v>
      </c>
      <c r="B39" s="24" t="s">
        <v>223</v>
      </c>
      <c r="C39" s="25" t="s">
        <v>224</v>
      </c>
      <c r="D39" s="24" t="s">
        <v>225</v>
      </c>
      <c r="E39" s="24" t="s">
        <v>27</v>
      </c>
      <c r="F39" s="24" t="s">
        <v>226</v>
      </c>
      <c r="G39" s="24" t="s">
        <v>227</v>
      </c>
      <c r="H39" s="33">
        <v>92</v>
      </c>
      <c r="I39" s="33">
        <v>91</v>
      </c>
      <c r="J39" s="26">
        <v>73</v>
      </c>
      <c r="K39" s="26">
        <v>89</v>
      </c>
      <c r="L39" s="26">
        <v>74</v>
      </c>
      <c r="M39" s="26">
        <v>42</v>
      </c>
      <c r="N39" s="24">
        <f t="shared" si="4"/>
        <v>461</v>
      </c>
      <c r="O39" s="27">
        <f t="shared" si="5"/>
        <v>76.833333333333329</v>
      </c>
      <c r="P39" s="28">
        <f t="shared" si="6"/>
        <v>0.76833333333333331</v>
      </c>
      <c r="Q39" s="29" t="str">
        <f t="shared" si="7"/>
        <v>Pass</v>
      </c>
    </row>
    <row r="40" spans="1:17" ht="15" customHeight="1" x14ac:dyDescent="0.3">
      <c r="A40" s="30">
        <v>36</v>
      </c>
      <c r="B40" s="30" t="s">
        <v>228</v>
      </c>
      <c r="C40" s="31" t="s">
        <v>229</v>
      </c>
      <c r="D40" s="30" t="s">
        <v>230</v>
      </c>
      <c r="E40" s="30" t="s">
        <v>25</v>
      </c>
      <c r="F40" s="30" t="s">
        <v>231</v>
      </c>
      <c r="G40" s="30" t="s">
        <v>232</v>
      </c>
      <c r="H40" s="32">
        <v>72</v>
      </c>
      <c r="I40" s="32">
        <v>39</v>
      </c>
      <c r="J40" s="32">
        <v>64</v>
      </c>
      <c r="K40" s="32">
        <v>71</v>
      </c>
      <c r="L40" s="32">
        <v>71</v>
      </c>
      <c r="M40" s="33">
        <v>93</v>
      </c>
      <c r="N40" s="30">
        <f t="shared" si="4"/>
        <v>410</v>
      </c>
      <c r="O40" s="34">
        <f t="shared" si="5"/>
        <v>68.333333333333329</v>
      </c>
      <c r="P40" s="35">
        <f t="shared" si="6"/>
        <v>0.68333333333333335</v>
      </c>
      <c r="Q40" s="36" t="str">
        <f t="shared" si="7"/>
        <v>Pass</v>
      </c>
    </row>
    <row r="41" spans="1:17" ht="15" customHeight="1" x14ac:dyDescent="0.3">
      <c r="A41" s="24">
        <v>37</v>
      </c>
      <c r="B41" s="24" t="s">
        <v>233</v>
      </c>
      <c r="C41" s="25" t="s">
        <v>234</v>
      </c>
      <c r="D41" s="24" t="s">
        <v>235</v>
      </c>
      <c r="E41" s="24" t="s">
        <v>37</v>
      </c>
      <c r="F41" s="24" t="s">
        <v>236</v>
      </c>
      <c r="G41" s="24" t="s">
        <v>237</v>
      </c>
      <c r="H41" s="26">
        <v>74</v>
      </c>
      <c r="I41" s="26">
        <v>71</v>
      </c>
      <c r="J41" s="33">
        <v>91</v>
      </c>
      <c r="K41" s="26">
        <v>50</v>
      </c>
      <c r="L41" s="33">
        <v>94</v>
      </c>
      <c r="M41" s="26">
        <v>73</v>
      </c>
      <c r="N41" s="24">
        <f t="shared" si="4"/>
        <v>453</v>
      </c>
      <c r="O41" s="27">
        <f t="shared" si="5"/>
        <v>75.5</v>
      </c>
      <c r="P41" s="28">
        <f t="shared" si="6"/>
        <v>0.755</v>
      </c>
      <c r="Q41" s="29" t="str">
        <f t="shared" si="7"/>
        <v>Pass</v>
      </c>
    </row>
    <row r="42" spans="1:17" ht="15" customHeight="1" x14ac:dyDescent="0.3">
      <c r="A42" s="30">
        <v>38</v>
      </c>
      <c r="B42" s="30" t="s">
        <v>238</v>
      </c>
      <c r="C42" s="31" t="s">
        <v>239</v>
      </c>
      <c r="D42" s="30" t="s">
        <v>240</v>
      </c>
      <c r="E42" s="30" t="s">
        <v>31</v>
      </c>
      <c r="F42" s="30" t="s">
        <v>168</v>
      </c>
      <c r="G42" s="30" t="s">
        <v>241</v>
      </c>
      <c r="H42" s="32">
        <v>37</v>
      </c>
      <c r="I42" s="32">
        <v>69</v>
      </c>
      <c r="J42" s="32">
        <v>40</v>
      </c>
      <c r="K42" s="32">
        <v>57</v>
      </c>
      <c r="L42" s="33">
        <v>95</v>
      </c>
      <c r="M42" s="33">
        <v>91</v>
      </c>
      <c r="N42" s="30">
        <f t="shared" si="4"/>
        <v>389</v>
      </c>
      <c r="O42" s="34">
        <f t="shared" si="5"/>
        <v>64.833333333333329</v>
      </c>
      <c r="P42" s="35">
        <f t="shared" si="6"/>
        <v>0.64833333333333332</v>
      </c>
      <c r="Q42" s="36" t="str">
        <f t="shared" si="7"/>
        <v>Pass</v>
      </c>
    </row>
    <row r="43" spans="1:17" ht="15" customHeight="1" x14ac:dyDescent="0.3">
      <c r="A43" s="24">
        <v>39</v>
      </c>
      <c r="B43" s="24" t="s">
        <v>242</v>
      </c>
      <c r="C43" s="25" t="s">
        <v>243</v>
      </c>
      <c r="D43" s="24" t="s">
        <v>244</v>
      </c>
      <c r="E43" s="24" t="s">
        <v>38</v>
      </c>
      <c r="F43" s="24" t="s">
        <v>245</v>
      </c>
      <c r="G43" s="24" t="s">
        <v>246</v>
      </c>
      <c r="H43" s="33">
        <v>98</v>
      </c>
      <c r="I43" s="26">
        <v>71</v>
      </c>
      <c r="J43" s="26">
        <v>86</v>
      </c>
      <c r="K43" s="26">
        <v>39</v>
      </c>
      <c r="L43" s="33">
        <v>93</v>
      </c>
      <c r="M43" s="26">
        <v>46</v>
      </c>
      <c r="N43" s="24">
        <f t="shared" si="4"/>
        <v>433</v>
      </c>
      <c r="O43" s="27">
        <f t="shared" si="5"/>
        <v>72.166666666666671</v>
      </c>
      <c r="P43" s="28">
        <f t="shared" si="6"/>
        <v>0.72166666666666668</v>
      </c>
      <c r="Q43" s="29" t="str">
        <f t="shared" si="7"/>
        <v>Pass</v>
      </c>
    </row>
    <row r="44" spans="1:17" ht="15" customHeight="1" x14ac:dyDescent="0.3">
      <c r="A44" s="30">
        <v>40</v>
      </c>
      <c r="B44" s="30" t="s">
        <v>247</v>
      </c>
      <c r="C44" s="31" t="s">
        <v>248</v>
      </c>
      <c r="D44" s="30" t="s">
        <v>249</v>
      </c>
      <c r="E44" s="30" t="s">
        <v>34</v>
      </c>
      <c r="F44" s="30" t="s">
        <v>114</v>
      </c>
      <c r="G44" s="30" t="s">
        <v>250</v>
      </c>
      <c r="H44" s="33">
        <v>91</v>
      </c>
      <c r="I44" s="32">
        <v>41</v>
      </c>
      <c r="J44" s="32">
        <v>61</v>
      </c>
      <c r="K44" s="32">
        <v>69</v>
      </c>
      <c r="L44" s="32">
        <v>51</v>
      </c>
      <c r="M44" s="32">
        <v>71</v>
      </c>
      <c r="N44" s="30">
        <f t="shared" si="4"/>
        <v>384</v>
      </c>
      <c r="O44" s="34">
        <f t="shared" si="5"/>
        <v>64</v>
      </c>
      <c r="P44" s="35">
        <f t="shared" si="6"/>
        <v>0.64</v>
      </c>
      <c r="Q44" s="36" t="str">
        <f t="shared" si="7"/>
        <v>Pass</v>
      </c>
    </row>
    <row r="45" spans="1:17" ht="15" customHeight="1" x14ac:dyDescent="0.3">
      <c r="A45" s="24">
        <v>41</v>
      </c>
      <c r="B45" s="24" t="s">
        <v>251</v>
      </c>
      <c r="C45" s="25" t="s">
        <v>252</v>
      </c>
      <c r="D45" s="24" t="s">
        <v>253</v>
      </c>
      <c r="E45" s="24" t="s">
        <v>23</v>
      </c>
      <c r="F45" s="24" t="s">
        <v>254</v>
      </c>
      <c r="G45" s="24" t="s">
        <v>255</v>
      </c>
      <c r="H45" s="26">
        <v>50</v>
      </c>
      <c r="I45" s="26">
        <v>54</v>
      </c>
      <c r="J45" s="33">
        <v>98</v>
      </c>
      <c r="K45" s="26">
        <v>72</v>
      </c>
      <c r="L45" s="26">
        <v>69</v>
      </c>
      <c r="M45" s="26">
        <v>88</v>
      </c>
      <c r="N45" s="24">
        <f t="shared" si="4"/>
        <v>431</v>
      </c>
      <c r="O45" s="27">
        <f t="shared" si="5"/>
        <v>71.833333333333329</v>
      </c>
      <c r="P45" s="28">
        <f t="shared" si="6"/>
        <v>0.71833333333333338</v>
      </c>
      <c r="Q45" s="29" t="str">
        <f t="shared" si="7"/>
        <v>Pass</v>
      </c>
    </row>
    <row r="46" spans="1:17" ht="15" customHeight="1" x14ac:dyDescent="0.3">
      <c r="A46" s="30">
        <v>42</v>
      </c>
      <c r="B46" s="30" t="s">
        <v>256</v>
      </c>
      <c r="C46" s="31" t="s">
        <v>257</v>
      </c>
      <c r="D46" s="30" t="s">
        <v>258</v>
      </c>
      <c r="E46" s="30" t="s">
        <v>21</v>
      </c>
      <c r="F46" s="30" t="s">
        <v>259</v>
      </c>
      <c r="G46" s="30" t="s">
        <v>260</v>
      </c>
      <c r="H46" s="32">
        <v>35</v>
      </c>
      <c r="I46" s="32">
        <v>71</v>
      </c>
      <c r="J46" s="32">
        <v>73</v>
      </c>
      <c r="K46" s="33">
        <v>97</v>
      </c>
      <c r="L46" s="32">
        <v>54</v>
      </c>
      <c r="M46" s="33">
        <v>92</v>
      </c>
      <c r="N46" s="30">
        <f t="shared" si="4"/>
        <v>422</v>
      </c>
      <c r="O46" s="34">
        <f t="shared" si="5"/>
        <v>70.333333333333329</v>
      </c>
      <c r="P46" s="35">
        <f t="shared" si="6"/>
        <v>0.70333333333333337</v>
      </c>
      <c r="Q46" s="36" t="str">
        <f t="shared" si="7"/>
        <v>Pass</v>
      </c>
    </row>
    <row r="47" spans="1:17" ht="15" customHeight="1" x14ac:dyDescent="0.3">
      <c r="A47" s="24">
        <v>43</v>
      </c>
      <c r="B47" s="24" t="s">
        <v>261</v>
      </c>
      <c r="C47" s="25" t="s">
        <v>262</v>
      </c>
      <c r="D47" s="24" t="s">
        <v>263</v>
      </c>
      <c r="E47" s="24" t="s">
        <v>32</v>
      </c>
      <c r="F47" s="24" t="s">
        <v>264</v>
      </c>
      <c r="G47" s="24" t="s">
        <v>265</v>
      </c>
      <c r="H47" s="33">
        <v>95</v>
      </c>
      <c r="I47" s="26">
        <v>83</v>
      </c>
      <c r="J47" s="26">
        <v>84</v>
      </c>
      <c r="K47" s="26">
        <v>54</v>
      </c>
      <c r="L47" s="33">
        <v>98</v>
      </c>
      <c r="M47" s="26">
        <v>39</v>
      </c>
      <c r="N47" s="24">
        <f t="shared" si="4"/>
        <v>453</v>
      </c>
      <c r="O47" s="27">
        <f t="shared" si="5"/>
        <v>75.5</v>
      </c>
      <c r="P47" s="28">
        <f t="shared" si="6"/>
        <v>0.755</v>
      </c>
      <c r="Q47" s="29" t="str">
        <f t="shared" si="7"/>
        <v>Pass</v>
      </c>
    </row>
    <row r="48" spans="1:17" ht="15" customHeight="1" x14ac:dyDescent="0.3">
      <c r="A48" s="30">
        <v>44</v>
      </c>
      <c r="B48" s="30" t="s">
        <v>266</v>
      </c>
      <c r="C48" s="31" t="s">
        <v>267</v>
      </c>
      <c r="D48" s="30" t="s">
        <v>268</v>
      </c>
      <c r="E48" s="30" t="s">
        <v>23</v>
      </c>
      <c r="F48" s="30" t="s">
        <v>269</v>
      </c>
      <c r="G48" s="30" t="s">
        <v>270</v>
      </c>
      <c r="H48" s="32">
        <v>85</v>
      </c>
      <c r="I48" s="32">
        <v>45</v>
      </c>
      <c r="J48" s="32">
        <v>77</v>
      </c>
      <c r="K48" s="32">
        <v>83</v>
      </c>
      <c r="L48" s="32">
        <v>75</v>
      </c>
      <c r="M48" s="33">
        <v>97</v>
      </c>
      <c r="N48" s="30">
        <f t="shared" si="4"/>
        <v>462</v>
      </c>
      <c r="O48" s="34">
        <f t="shared" si="5"/>
        <v>77</v>
      </c>
      <c r="P48" s="35">
        <f t="shared" si="6"/>
        <v>0.77</v>
      </c>
      <c r="Q48" s="36" t="str">
        <f t="shared" si="7"/>
        <v>Pass</v>
      </c>
    </row>
    <row r="49" spans="1:17" ht="15" customHeight="1" x14ac:dyDescent="0.3">
      <c r="A49" s="24">
        <v>45</v>
      </c>
      <c r="B49" s="24" t="s">
        <v>271</v>
      </c>
      <c r="C49" s="25" t="s">
        <v>272</v>
      </c>
      <c r="D49" s="24" t="s">
        <v>273</v>
      </c>
      <c r="E49" s="24" t="s">
        <v>30</v>
      </c>
      <c r="F49" s="24" t="s">
        <v>274</v>
      </c>
      <c r="G49" s="24" t="s">
        <v>275</v>
      </c>
      <c r="H49" s="26">
        <v>42</v>
      </c>
      <c r="I49" s="26">
        <v>72</v>
      </c>
      <c r="J49" s="26">
        <v>80</v>
      </c>
      <c r="K49" s="26">
        <v>82</v>
      </c>
      <c r="L49" s="26">
        <v>90</v>
      </c>
      <c r="M49" s="26">
        <v>53</v>
      </c>
      <c r="N49" s="24">
        <f t="shared" si="4"/>
        <v>419</v>
      </c>
      <c r="O49" s="27">
        <f t="shared" si="5"/>
        <v>69.833333333333329</v>
      </c>
      <c r="P49" s="28">
        <f t="shared" si="6"/>
        <v>0.69833333333333336</v>
      </c>
      <c r="Q49" s="29" t="str">
        <f t="shared" si="7"/>
        <v>Pass</v>
      </c>
    </row>
    <row r="50" spans="1:17" ht="15" customHeight="1" x14ac:dyDescent="0.3">
      <c r="A50" s="30">
        <v>46</v>
      </c>
      <c r="B50" s="30" t="s">
        <v>276</v>
      </c>
      <c r="C50" s="31" t="s">
        <v>277</v>
      </c>
      <c r="D50" s="30" t="s">
        <v>278</v>
      </c>
      <c r="E50" s="30" t="s">
        <v>29</v>
      </c>
      <c r="F50" s="30" t="s">
        <v>64</v>
      </c>
      <c r="G50" s="30" t="s">
        <v>279</v>
      </c>
      <c r="H50" s="32">
        <v>67</v>
      </c>
      <c r="I50" s="33">
        <v>93</v>
      </c>
      <c r="J50" s="32">
        <v>67</v>
      </c>
      <c r="K50" s="32">
        <v>36</v>
      </c>
      <c r="L50" s="33">
        <v>94</v>
      </c>
      <c r="M50" s="32">
        <v>71</v>
      </c>
      <c r="N50" s="30">
        <f t="shared" si="4"/>
        <v>428</v>
      </c>
      <c r="O50" s="34">
        <f t="shared" si="5"/>
        <v>71.333333333333329</v>
      </c>
      <c r="P50" s="35">
        <f t="shared" si="6"/>
        <v>0.71333333333333337</v>
      </c>
      <c r="Q50" s="36" t="str">
        <f t="shared" si="7"/>
        <v>Pass</v>
      </c>
    </row>
    <row r="51" spans="1:17" ht="15" customHeight="1" x14ac:dyDescent="0.3">
      <c r="A51" s="24">
        <v>47</v>
      </c>
      <c r="B51" s="24" t="s">
        <v>280</v>
      </c>
      <c r="C51" s="25" t="s">
        <v>281</v>
      </c>
      <c r="D51" s="24" t="s">
        <v>282</v>
      </c>
      <c r="E51" s="24" t="s">
        <v>36</v>
      </c>
      <c r="F51" s="24" t="s">
        <v>283</v>
      </c>
      <c r="G51" s="24" t="s">
        <v>159</v>
      </c>
      <c r="H51" s="26">
        <v>80</v>
      </c>
      <c r="I51" s="26">
        <v>72</v>
      </c>
      <c r="J51" s="26">
        <v>72</v>
      </c>
      <c r="K51" s="26">
        <v>37</v>
      </c>
      <c r="L51" s="26">
        <v>85</v>
      </c>
      <c r="M51" s="26">
        <v>70</v>
      </c>
      <c r="N51" s="24">
        <f t="shared" si="4"/>
        <v>416</v>
      </c>
      <c r="O51" s="27">
        <f t="shared" si="5"/>
        <v>69.333333333333329</v>
      </c>
      <c r="P51" s="28">
        <f t="shared" si="6"/>
        <v>0.69333333333333336</v>
      </c>
      <c r="Q51" s="29" t="str">
        <f t="shared" si="7"/>
        <v>Pass</v>
      </c>
    </row>
    <row r="52" spans="1:17" ht="15" customHeight="1" x14ac:dyDescent="0.3">
      <c r="A52" s="30">
        <v>48</v>
      </c>
      <c r="B52" s="30" t="s">
        <v>284</v>
      </c>
      <c r="C52" s="31" t="s">
        <v>285</v>
      </c>
      <c r="D52" s="30" t="s">
        <v>286</v>
      </c>
      <c r="E52" s="30" t="s">
        <v>25</v>
      </c>
      <c r="F52" s="30" t="s">
        <v>218</v>
      </c>
      <c r="G52" s="30" t="s">
        <v>246</v>
      </c>
      <c r="H52" s="32">
        <v>40</v>
      </c>
      <c r="I52" s="32">
        <v>74</v>
      </c>
      <c r="J52" s="33">
        <v>91</v>
      </c>
      <c r="K52" s="32">
        <v>39</v>
      </c>
      <c r="L52" s="32">
        <v>81</v>
      </c>
      <c r="M52" s="32">
        <v>51</v>
      </c>
      <c r="N52" s="30">
        <f t="shared" si="4"/>
        <v>376</v>
      </c>
      <c r="O52" s="34">
        <f t="shared" si="5"/>
        <v>62.666666666666664</v>
      </c>
      <c r="P52" s="35">
        <f t="shared" si="6"/>
        <v>0.62666666666666671</v>
      </c>
      <c r="Q52" s="36" t="str">
        <f t="shared" si="7"/>
        <v>Pass</v>
      </c>
    </row>
    <row r="53" spans="1:17" ht="15" customHeight="1" x14ac:dyDescent="0.3">
      <c r="A53" s="24">
        <v>49</v>
      </c>
      <c r="B53" s="24" t="s">
        <v>287</v>
      </c>
      <c r="C53" s="25" t="s">
        <v>288</v>
      </c>
      <c r="D53" s="24" t="s">
        <v>289</v>
      </c>
      <c r="E53" s="24" t="s">
        <v>23</v>
      </c>
      <c r="F53" s="24" t="s">
        <v>290</v>
      </c>
      <c r="G53" s="24" t="s">
        <v>291</v>
      </c>
      <c r="H53" s="26">
        <v>78</v>
      </c>
      <c r="I53" s="26">
        <v>49</v>
      </c>
      <c r="J53" s="33">
        <v>94</v>
      </c>
      <c r="K53" s="26">
        <v>44</v>
      </c>
      <c r="L53" s="26">
        <v>53</v>
      </c>
      <c r="M53" s="26">
        <v>63</v>
      </c>
      <c r="N53" s="24">
        <f t="shared" si="4"/>
        <v>381</v>
      </c>
      <c r="O53" s="27">
        <f t="shared" si="5"/>
        <v>63.5</v>
      </c>
      <c r="P53" s="28">
        <f t="shared" si="6"/>
        <v>0.63500000000000001</v>
      </c>
      <c r="Q53" s="29" t="str">
        <f t="shared" si="7"/>
        <v>Pass</v>
      </c>
    </row>
    <row r="54" spans="1:17" ht="15" customHeight="1" x14ac:dyDescent="0.3">
      <c r="A54" s="30">
        <v>50</v>
      </c>
      <c r="B54" s="30" t="s">
        <v>292</v>
      </c>
      <c r="C54" s="31" t="s">
        <v>293</v>
      </c>
      <c r="D54" s="30" t="s">
        <v>294</v>
      </c>
      <c r="E54" s="30" t="s">
        <v>29</v>
      </c>
      <c r="F54" s="30" t="s">
        <v>295</v>
      </c>
      <c r="G54" s="30" t="s">
        <v>296</v>
      </c>
      <c r="H54" s="32">
        <v>64</v>
      </c>
      <c r="I54" s="33">
        <v>95</v>
      </c>
      <c r="J54" s="32">
        <v>38</v>
      </c>
      <c r="K54" s="32">
        <v>76</v>
      </c>
      <c r="L54" s="32">
        <v>63</v>
      </c>
      <c r="M54" s="32">
        <v>43</v>
      </c>
      <c r="N54" s="30">
        <f t="shared" si="4"/>
        <v>379</v>
      </c>
      <c r="O54" s="34">
        <f t="shared" si="5"/>
        <v>63.166666666666664</v>
      </c>
      <c r="P54" s="35">
        <f t="shared" si="6"/>
        <v>0.63166666666666671</v>
      </c>
      <c r="Q54" s="36" t="str">
        <f t="shared" si="7"/>
        <v>Pass</v>
      </c>
    </row>
    <row r="55" spans="1:17" ht="15" customHeight="1" x14ac:dyDescent="0.3">
      <c r="A55" s="24">
        <v>51</v>
      </c>
      <c r="B55" s="24" t="s">
        <v>297</v>
      </c>
      <c r="C55" s="25" t="s">
        <v>298</v>
      </c>
      <c r="D55" s="24" t="s">
        <v>299</v>
      </c>
      <c r="E55" s="24" t="s">
        <v>27</v>
      </c>
      <c r="F55" s="24" t="s">
        <v>300</v>
      </c>
      <c r="G55" s="24" t="s">
        <v>301</v>
      </c>
      <c r="H55" s="26">
        <v>82</v>
      </c>
      <c r="I55" s="26">
        <v>88</v>
      </c>
      <c r="J55" s="26">
        <v>54</v>
      </c>
      <c r="K55" s="26">
        <v>88</v>
      </c>
      <c r="L55" s="26">
        <v>47</v>
      </c>
      <c r="M55" s="33">
        <v>97</v>
      </c>
      <c r="N55" s="24">
        <f t="shared" si="4"/>
        <v>456</v>
      </c>
      <c r="O55" s="27">
        <f t="shared" si="5"/>
        <v>76</v>
      </c>
      <c r="P55" s="28">
        <f t="shared" si="6"/>
        <v>0.76</v>
      </c>
      <c r="Q55" s="29" t="str">
        <f t="shared" si="7"/>
        <v>Pass</v>
      </c>
    </row>
    <row r="56" spans="1:17" ht="15" customHeight="1" x14ac:dyDescent="0.3">
      <c r="A56" s="30">
        <v>52</v>
      </c>
      <c r="B56" s="30" t="s">
        <v>302</v>
      </c>
      <c r="C56" s="31" t="s">
        <v>303</v>
      </c>
      <c r="D56" s="30" t="s">
        <v>304</v>
      </c>
      <c r="E56" s="30" t="s">
        <v>36</v>
      </c>
      <c r="F56" s="30" t="s">
        <v>305</v>
      </c>
      <c r="G56" s="30" t="s">
        <v>306</v>
      </c>
      <c r="H56" s="32">
        <v>59</v>
      </c>
      <c r="I56" s="32">
        <v>50</v>
      </c>
      <c r="J56" s="33">
        <v>93</v>
      </c>
      <c r="K56" s="32">
        <v>46</v>
      </c>
      <c r="L56" s="32">
        <v>62</v>
      </c>
      <c r="M56" s="32">
        <v>37</v>
      </c>
      <c r="N56" s="30">
        <f t="shared" si="4"/>
        <v>347</v>
      </c>
      <c r="O56" s="34">
        <f t="shared" si="5"/>
        <v>57.833333333333336</v>
      </c>
      <c r="P56" s="35">
        <f t="shared" si="6"/>
        <v>0.57833333333333337</v>
      </c>
      <c r="Q56" s="36" t="str">
        <f t="shared" si="7"/>
        <v>Pass</v>
      </c>
    </row>
    <row r="57" spans="1:17" ht="15" customHeight="1" x14ac:dyDescent="0.3">
      <c r="A57" s="24">
        <v>53</v>
      </c>
      <c r="B57" s="24" t="s">
        <v>307</v>
      </c>
      <c r="C57" s="25" t="s">
        <v>308</v>
      </c>
      <c r="D57" s="24" t="s">
        <v>309</v>
      </c>
      <c r="E57" s="24" t="s">
        <v>32</v>
      </c>
      <c r="F57" s="24" t="s">
        <v>310</v>
      </c>
      <c r="G57" s="24" t="s">
        <v>311</v>
      </c>
      <c r="H57" s="26">
        <v>53</v>
      </c>
      <c r="I57" s="26">
        <v>51</v>
      </c>
      <c r="J57" s="26">
        <v>67</v>
      </c>
      <c r="K57" s="26">
        <v>57</v>
      </c>
      <c r="L57" s="26">
        <v>49</v>
      </c>
      <c r="M57" s="26">
        <v>38</v>
      </c>
      <c r="N57" s="24">
        <f t="shared" si="4"/>
        <v>315</v>
      </c>
      <c r="O57" s="27">
        <f t="shared" si="5"/>
        <v>52.5</v>
      </c>
      <c r="P57" s="28">
        <f t="shared" si="6"/>
        <v>0.52500000000000002</v>
      </c>
      <c r="Q57" s="29" t="str">
        <f t="shared" si="7"/>
        <v>Pass</v>
      </c>
    </row>
    <row r="58" spans="1:17" ht="15" customHeight="1" x14ac:dyDescent="0.3">
      <c r="A58" s="30">
        <v>54</v>
      </c>
      <c r="B58" s="30" t="s">
        <v>312</v>
      </c>
      <c r="C58" s="31" t="s">
        <v>313</v>
      </c>
      <c r="D58" s="30" t="s">
        <v>314</v>
      </c>
      <c r="E58" s="30" t="s">
        <v>37</v>
      </c>
      <c r="F58" s="30" t="s">
        <v>315</v>
      </c>
      <c r="G58" s="30" t="s">
        <v>316</v>
      </c>
      <c r="H58" s="33">
        <v>92</v>
      </c>
      <c r="I58" s="32">
        <v>81</v>
      </c>
      <c r="J58" s="32">
        <v>48</v>
      </c>
      <c r="K58" s="33">
        <v>92</v>
      </c>
      <c r="L58" s="32">
        <v>63</v>
      </c>
      <c r="M58" s="32">
        <v>40</v>
      </c>
      <c r="N58" s="30">
        <f t="shared" si="4"/>
        <v>416</v>
      </c>
      <c r="O58" s="34">
        <f t="shared" si="5"/>
        <v>69.333333333333329</v>
      </c>
      <c r="P58" s="35">
        <f t="shared" si="6"/>
        <v>0.69333333333333336</v>
      </c>
      <c r="Q58" s="36" t="str">
        <f t="shared" si="7"/>
        <v>Pass</v>
      </c>
    </row>
    <row r="59" spans="1:17" ht="15" customHeight="1" x14ac:dyDescent="0.3">
      <c r="A59" s="24">
        <v>55</v>
      </c>
      <c r="B59" s="24" t="s">
        <v>317</v>
      </c>
      <c r="C59" s="25" t="s">
        <v>318</v>
      </c>
      <c r="D59" s="24" t="s">
        <v>319</v>
      </c>
      <c r="E59" s="24" t="s">
        <v>34</v>
      </c>
      <c r="F59" s="24" t="s">
        <v>320</v>
      </c>
      <c r="G59" s="24" t="s">
        <v>321</v>
      </c>
      <c r="H59" s="26">
        <v>40</v>
      </c>
      <c r="I59" s="37">
        <v>21</v>
      </c>
      <c r="J59" s="37">
        <v>10</v>
      </c>
      <c r="K59" s="37">
        <v>13</v>
      </c>
      <c r="L59" s="26">
        <v>35</v>
      </c>
      <c r="M59" s="26">
        <v>34</v>
      </c>
      <c r="N59" s="38">
        <f t="shared" si="4"/>
        <v>153</v>
      </c>
      <c r="O59" s="39">
        <f t="shared" si="5"/>
        <v>25.5</v>
      </c>
      <c r="P59" s="40">
        <f t="shared" si="6"/>
        <v>0.255</v>
      </c>
      <c r="Q59" s="38" t="str">
        <f t="shared" si="7"/>
        <v>Fail</v>
      </c>
    </row>
    <row r="60" spans="1:17" ht="15" customHeight="1" x14ac:dyDescent="0.3">
      <c r="A60" s="30">
        <v>56</v>
      </c>
      <c r="B60" s="30" t="s">
        <v>322</v>
      </c>
      <c r="C60" s="31" t="s">
        <v>323</v>
      </c>
      <c r="D60" s="30" t="s">
        <v>324</v>
      </c>
      <c r="E60" s="30" t="s">
        <v>25</v>
      </c>
      <c r="F60" s="30" t="s">
        <v>325</v>
      </c>
      <c r="G60" s="30" t="s">
        <v>326</v>
      </c>
      <c r="H60" s="32">
        <v>89</v>
      </c>
      <c r="I60" s="32">
        <v>75</v>
      </c>
      <c r="J60" s="32">
        <v>67</v>
      </c>
      <c r="K60" s="32">
        <v>82</v>
      </c>
      <c r="L60" s="32">
        <v>54</v>
      </c>
      <c r="M60" s="33">
        <v>95</v>
      </c>
      <c r="N60" s="30">
        <f t="shared" si="4"/>
        <v>462</v>
      </c>
      <c r="O60" s="34">
        <f t="shared" si="5"/>
        <v>77</v>
      </c>
      <c r="P60" s="35">
        <f t="shared" si="6"/>
        <v>0.77</v>
      </c>
      <c r="Q60" s="36" t="str">
        <f t="shared" si="7"/>
        <v>Pass</v>
      </c>
    </row>
    <row r="61" spans="1:17" ht="15" customHeight="1" x14ac:dyDescent="0.3">
      <c r="A61" s="24">
        <v>57</v>
      </c>
      <c r="B61" s="24" t="s">
        <v>327</v>
      </c>
      <c r="C61" s="25" t="s">
        <v>328</v>
      </c>
      <c r="D61" s="24" t="s">
        <v>329</v>
      </c>
      <c r="E61" s="24" t="s">
        <v>27</v>
      </c>
      <c r="F61" s="24" t="s">
        <v>330</v>
      </c>
      <c r="G61" s="24" t="s">
        <v>331</v>
      </c>
      <c r="H61" s="26">
        <v>89</v>
      </c>
      <c r="I61" s="26">
        <v>41</v>
      </c>
      <c r="J61" s="26">
        <v>71</v>
      </c>
      <c r="K61" s="26">
        <v>74</v>
      </c>
      <c r="L61" s="26">
        <v>80</v>
      </c>
      <c r="M61" s="26">
        <v>48</v>
      </c>
      <c r="N61" s="24">
        <f t="shared" si="4"/>
        <v>403</v>
      </c>
      <c r="O61" s="27">
        <f t="shared" si="5"/>
        <v>67.166666666666671</v>
      </c>
      <c r="P61" s="28">
        <f t="shared" si="6"/>
        <v>0.67166666666666663</v>
      </c>
      <c r="Q61" s="29" t="str">
        <f t="shared" si="7"/>
        <v>Pass</v>
      </c>
    </row>
    <row r="62" spans="1:17" ht="15" customHeight="1" x14ac:dyDescent="0.3">
      <c r="A62" s="30">
        <v>58</v>
      </c>
      <c r="B62" s="30" t="s">
        <v>332</v>
      </c>
      <c r="C62" s="31" t="s">
        <v>333</v>
      </c>
      <c r="D62" s="30" t="s">
        <v>334</v>
      </c>
      <c r="E62" s="30" t="s">
        <v>31</v>
      </c>
      <c r="F62" s="30" t="s">
        <v>335</v>
      </c>
      <c r="G62" s="30" t="s">
        <v>336</v>
      </c>
      <c r="H62" s="32">
        <v>38</v>
      </c>
      <c r="I62" s="32">
        <v>69</v>
      </c>
      <c r="J62" s="32">
        <v>38</v>
      </c>
      <c r="K62" s="32">
        <v>58</v>
      </c>
      <c r="L62" s="32">
        <v>69</v>
      </c>
      <c r="M62" s="32">
        <v>74</v>
      </c>
      <c r="N62" s="30">
        <f t="shared" si="4"/>
        <v>346</v>
      </c>
      <c r="O62" s="34">
        <f t="shared" si="5"/>
        <v>57.666666666666664</v>
      </c>
      <c r="P62" s="35">
        <f t="shared" si="6"/>
        <v>0.57666666666666666</v>
      </c>
      <c r="Q62" s="36" t="str">
        <f t="shared" si="7"/>
        <v>Pass</v>
      </c>
    </row>
    <row r="63" spans="1:17" ht="15" customHeight="1" x14ac:dyDescent="0.3">
      <c r="A63" s="24">
        <v>59</v>
      </c>
      <c r="B63" s="24" t="s">
        <v>337</v>
      </c>
      <c r="C63" s="25" t="s">
        <v>338</v>
      </c>
      <c r="D63" s="24" t="s">
        <v>339</v>
      </c>
      <c r="E63" s="24" t="s">
        <v>32</v>
      </c>
      <c r="F63" s="24" t="s">
        <v>340</v>
      </c>
      <c r="G63" s="24" t="s">
        <v>341</v>
      </c>
      <c r="H63" s="26">
        <v>55</v>
      </c>
      <c r="I63" s="26">
        <v>82</v>
      </c>
      <c r="J63" s="26">
        <v>74</v>
      </c>
      <c r="K63" s="26">
        <v>76</v>
      </c>
      <c r="L63" s="26">
        <v>45</v>
      </c>
      <c r="M63" s="26">
        <v>41</v>
      </c>
      <c r="N63" s="24">
        <f t="shared" si="4"/>
        <v>373</v>
      </c>
      <c r="O63" s="27">
        <f t="shared" si="5"/>
        <v>62.166666666666664</v>
      </c>
      <c r="P63" s="28">
        <f t="shared" si="6"/>
        <v>0.6216666666666667</v>
      </c>
      <c r="Q63" s="29" t="str">
        <f t="shared" si="7"/>
        <v>Pass</v>
      </c>
    </row>
    <row r="64" spans="1:17" ht="15" customHeight="1" x14ac:dyDescent="0.3">
      <c r="A64" s="30">
        <v>60</v>
      </c>
      <c r="B64" s="30" t="s">
        <v>342</v>
      </c>
      <c r="C64" s="31" t="s">
        <v>343</v>
      </c>
      <c r="D64" s="30" t="s">
        <v>344</v>
      </c>
      <c r="E64" s="30" t="s">
        <v>30</v>
      </c>
      <c r="F64" s="30" t="s">
        <v>345</v>
      </c>
      <c r="G64" s="30" t="s">
        <v>346</v>
      </c>
      <c r="H64" s="37">
        <v>29</v>
      </c>
      <c r="I64" s="37">
        <v>17</v>
      </c>
      <c r="J64" s="32">
        <v>39</v>
      </c>
      <c r="K64" s="32">
        <v>34</v>
      </c>
      <c r="L64" s="37">
        <v>10</v>
      </c>
      <c r="M64" s="37">
        <v>12</v>
      </c>
      <c r="N64" s="38">
        <f t="shared" si="4"/>
        <v>141</v>
      </c>
      <c r="O64" s="39">
        <f t="shared" si="5"/>
        <v>23.5</v>
      </c>
      <c r="P64" s="40">
        <f t="shared" si="6"/>
        <v>0.23499999999999999</v>
      </c>
      <c r="Q64" s="38" t="str">
        <f t="shared" si="7"/>
        <v>Fail</v>
      </c>
    </row>
    <row r="65" spans="1:17" ht="15" customHeight="1" x14ac:dyDescent="0.3">
      <c r="A65" s="24">
        <v>61</v>
      </c>
      <c r="B65" s="24" t="s">
        <v>347</v>
      </c>
      <c r="C65" s="25" t="s">
        <v>348</v>
      </c>
      <c r="D65" s="24" t="s">
        <v>349</v>
      </c>
      <c r="E65" s="24" t="s">
        <v>33</v>
      </c>
      <c r="F65" s="24" t="s">
        <v>350</v>
      </c>
      <c r="G65" s="24" t="s">
        <v>124</v>
      </c>
      <c r="H65" s="26">
        <v>83</v>
      </c>
      <c r="I65" s="26">
        <v>64</v>
      </c>
      <c r="J65" s="26">
        <v>80</v>
      </c>
      <c r="K65" s="26">
        <v>44</v>
      </c>
      <c r="L65" s="26">
        <v>85</v>
      </c>
      <c r="M65" s="26">
        <v>40</v>
      </c>
      <c r="N65" s="24">
        <f t="shared" si="4"/>
        <v>396</v>
      </c>
      <c r="O65" s="27">
        <f t="shared" si="5"/>
        <v>66</v>
      </c>
      <c r="P65" s="28">
        <f t="shared" si="6"/>
        <v>0.66</v>
      </c>
      <c r="Q65" s="29" t="str">
        <f t="shared" si="7"/>
        <v>Pass</v>
      </c>
    </row>
    <row r="66" spans="1:17" ht="15" customHeight="1" x14ac:dyDescent="0.3">
      <c r="A66" s="30">
        <v>62</v>
      </c>
      <c r="B66" s="30" t="s">
        <v>351</v>
      </c>
      <c r="C66" s="31" t="s">
        <v>352</v>
      </c>
      <c r="D66" s="30" t="s">
        <v>353</v>
      </c>
      <c r="E66" s="30" t="s">
        <v>33</v>
      </c>
      <c r="F66" s="30" t="s">
        <v>283</v>
      </c>
      <c r="G66" s="30" t="s">
        <v>354</v>
      </c>
      <c r="H66" s="33">
        <v>93</v>
      </c>
      <c r="I66" s="32">
        <v>81</v>
      </c>
      <c r="J66" s="32">
        <v>46</v>
      </c>
      <c r="K66" s="32">
        <v>90</v>
      </c>
      <c r="L66" s="32">
        <v>48</v>
      </c>
      <c r="M66" s="32">
        <v>66</v>
      </c>
      <c r="N66" s="30">
        <f t="shared" si="4"/>
        <v>424</v>
      </c>
      <c r="O66" s="34">
        <f t="shared" si="5"/>
        <v>70.666666666666671</v>
      </c>
      <c r="P66" s="35">
        <f t="shared" si="6"/>
        <v>0.70666666666666667</v>
      </c>
      <c r="Q66" s="36" t="str">
        <f t="shared" si="7"/>
        <v>Pass</v>
      </c>
    </row>
    <row r="67" spans="1:17" ht="15" customHeight="1" x14ac:dyDescent="0.3">
      <c r="A67" s="24">
        <v>63</v>
      </c>
      <c r="B67" s="24" t="s">
        <v>355</v>
      </c>
      <c r="C67" s="25" t="s">
        <v>356</v>
      </c>
      <c r="D67" s="24" t="s">
        <v>357</v>
      </c>
      <c r="E67" s="24" t="s">
        <v>30</v>
      </c>
      <c r="F67" s="24" t="s">
        <v>123</v>
      </c>
      <c r="G67" s="24" t="s">
        <v>358</v>
      </c>
      <c r="H67" s="26">
        <v>79</v>
      </c>
      <c r="I67" s="26">
        <v>53</v>
      </c>
      <c r="J67" s="26">
        <v>65</v>
      </c>
      <c r="K67" s="26">
        <v>48</v>
      </c>
      <c r="L67" s="26">
        <v>53</v>
      </c>
      <c r="M67" s="26">
        <v>67</v>
      </c>
      <c r="N67" s="24">
        <f t="shared" si="4"/>
        <v>365</v>
      </c>
      <c r="O67" s="27">
        <f t="shared" si="5"/>
        <v>60.833333333333336</v>
      </c>
      <c r="P67" s="28">
        <f t="shared" si="6"/>
        <v>0.60833333333333328</v>
      </c>
      <c r="Q67" s="29" t="str">
        <f t="shared" si="7"/>
        <v>Pass</v>
      </c>
    </row>
    <row r="68" spans="1:17" ht="15" customHeight="1" x14ac:dyDescent="0.3">
      <c r="A68" s="30">
        <v>64</v>
      </c>
      <c r="B68" s="30" t="s">
        <v>359</v>
      </c>
      <c r="C68" s="31" t="s">
        <v>360</v>
      </c>
      <c r="D68" s="30" t="s">
        <v>361</v>
      </c>
      <c r="E68" s="30" t="s">
        <v>27</v>
      </c>
      <c r="F68" s="30" t="s">
        <v>362</v>
      </c>
      <c r="G68" s="30" t="s">
        <v>363</v>
      </c>
      <c r="H68" s="32">
        <v>44</v>
      </c>
      <c r="I68" s="37">
        <v>15</v>
      </c>
      <c r="J68" s="37">
        <v>22</v>
      </c>
      <c r="K68" s="37">
        <v>11</v>
      </c>
      <c r="L68" s="32">
        <v>44</v>
      </c>
      <c r="M68" s="32">
        <v>33</v>
      </c>
      <c r="N68" s="38">
        <f t="shared" si="4"/>
        <v>169</v>
      </c>
      <c r="O68" s="39">
        <f t="shared" si="5"/>
        <v>28.166666666666668</v>
      </c>
      <c r="P68" s="40">
        <f t="shared" si="6"/>
        <v>0.28166666666666668</v>
      </c>
      <c r="Q68" s="38" t="str">
        <f t="shared" si="7"/>
        <v>Fail</v>
      </c>
    </row>
    <row r="69" spans="1:17" ht="15" customHeight="1" x14ac:dyDescent="0.3">
      <c r="A69" s="24">
        <v>65</v>
      </c>
      <c r="B69" s="24" t="s">
        <v>364</v>
      </c>
      <c r="C69" s="25" t="s">
        <v>365</v>
      </c>
      <c r="D69" s="24" t="s">
        <v>366</v>
      </c>
      <c r="E69" s="24" t="s">
        <v>21</v>
      </c>
      <c r="F69" s="24" t="s">
        <v>367</v>
      </c>
      <c r="G69" s="24" t="s">
        <v>270</v>
      </c>
      <c r="H69" s="33">
        <v>94</v>
      </c>
      <c r="I69" s="26">
        <v>40</v>
      </c>
      <c r="J69" s="33">
        <v>92</v>
      </c>
      <c r="K69" s="26">
        <v>59</v>
      </c>
      <c r="L69" s="26">
        <v>76</v>
      </c>
      <c r="M69" s="33">
        <v>95</v>
      </c>
      <c r="N69" s="24">
        <f t="shared" ref="N69:N100" si="8">SUM(H69:M69)</f>
        <v>456</v>
      </c>
      <c r="O69" s="27">
        <f t="shared" ref="O69:O104" si="9">AVERAGE(H69:M69)</f>
        <v>76</v>
      </c>
      <c r="P69" s="28">
        <f t="shared" ref="P69:P104" si="10">N69/(COUNT(H69:M69)*100)</f>
        <v>0.76</v>
      </c>
      <c r="Q69" s="29" t="str">
        <f t="shared" ref="Q69:Q100" si="11">IF(P69&lt;0.3,"Fail","Pass")</f>
        <v>Pass</v>
      </c>
    </row>
    <row r="70" spans="1:17" ht="15" customHeight="1" x14ac:dyDescent="0.3">
      <c r="A70" s="30">
        <v>66</v>
      </c>
      <c r="B70" s="30" t="s">
        <v>368</v>
      </c>
      <c r="C70" s="31" t="s">
        <v>369</v>
      </c>
      <c r="D70" s="30" t="s">
        <v>370</v>
      </c>
      <c r="E70" s="30" t="s">
        <v>25</v>
      </c>
      <c r="F70" s="30" t="s">
        <v>371</v>
      </c>
      <c r="G70" s="30" t="s">
        <v>372</v>
      </c>
      <c r="H70" s="32">
        <v>71</v>
      </c>
      <c r="I70" s="32">
        <v>84</v>
      </c>
      <c r="J70" s="32">
        <v>87</v>
      </c>
      <c r="K70" s="32">
        <v>78</v>
      </c>
      <c r="L70" s="32">
        <v>41</v>
      </c>
      <c r="M70" s="32">
        <v>77</v>
      </c>
      <c r="N70" s="30">
        <f t="shared" si="8"/>
        <v>438</v>
      </c>
      <c r="O70" s="34">
        <f t="shared" si="9"/>
        <v>73</v>
      </c>
      <c r="P70" s="35">
        <f t="shared" si="10"/>
        <v>0.73</v>
      </c>
      <c r="Q70" s="36" t="str">
        <f t="shared" si="11"/>
        <v>Pass</v>
      </c>
    </row>
    <row r="71" spans="1:17" ht="15" customHeight="1" x14ac:dyDescent="0.3">
      <c r="A71" s="24">
        <v>67</v>
      </c>
      <c r="B71" s="24" t="s">
        <v>373</v>
      </c>
      <c r="C71" s="25" t="s">
        <v>374</v>
      </c>
      <c r="D71" s="24" t="s">
        <v>375</v>
      </c>
      <c r="E71" s="24" t="s">
        <v>29</v>
      </c>
      <c r="F71" s="24" t="s">
        <v>376</v>
      </c>
      <c r="G71" s="24" t="s">
        <v>377</v>
      </c>
      <c r="H71" s="26">
        <v>45</v>
      </c>
      <c r="I71" s="26">
        <v>74</v>
      </c>
      <c r="J71" s="26">
        <v>83</v>
      </c>
      <c r="K71" s="26">
        <v>77</v>
      </c>
      <c r="L71" s="26">
        <v>51</v>
      </c>
      <c r="M71" s="26">
        <v>46</v>
      </c>
      <c r="N71" s="24">
        <f t="shared" si="8"/>
        <v>376</v>
      </c>
      <c r="O71" s="27">
        <f t="shared" si="9"/>
        <v>62.666666666666664</v>
      </c>
      <c r="P71" s="28">
        <f t="shared" si="10"/>
        <v>0.62666666666666671</v>
      </c>
      <c r="Q71" s="29" t="str">
        <f t="shared" si="11"/>
        <v>Pass</v>
      </c>
    </row>
    <row r="72" spans="1:17" ht="15" customHeight="1" x14ac:dyDescent="0.3">
      <c r="A72" s="30">
        <v>68</v>
      </c>
      <c r="B72" s="30" t="s">
        <v>378</v>
      </c>
      <c r="C72" s="31" t="s">
        <v>379</v>
      </c>
      <c r="D72" s="30" t="s">
        <v>380</v>
      </c>
      <c r="E72" s="30" t="s">
        <v>32</v>
      </c>
      <c r="F72" s="30" t="s">
        <v>381</v>
      </c>
      <c r="G72" s="30" t="s">
        <v>382</v>
      </c>
      <c r="H72" s="32">
        <v>39</v>
      </c>
      <c r="I72" s="32">
        <v>78</v>
      </c>
      <c r="J72" s="32">
        <v>51</v>
      </c>
      <c r="K72" s="32">
        <v>83</v>
      </c>
      <c r="L72" s="32">
        <v>54</v>
      </c>
      <c r="M72" s="32">
        <v>55</v>
      </c>
      <c r="N72" s="30">
        <f t="shared" si="8"/>
        <v>360</v>
      </c>
      <c r="O72" s="34">
        <f t="shared" si="9"/>
        <v>60</v>
      </c>
      <c r="P72" s="35">
        <f t="shared" si="10"/>
        <v>0.6</v>
      </c>
      <c r="Q72" s="36" t="str">
        <f t="shared" si="11"/>
        <v>Pass</v>
      </c>
    </row>
    <row r="73" spans="1:17" ht="15" customHeight="1" x14ac:dyDescent="0.3">
      <c r="A73" s="24">
        <v>69</v>
      </c>
      <c r="B73" s="24" t="s">
        <v>383</v>
      </c>
      <c r="C73" s="25" t="s">
        <v>384</v>
      </c>
      <c r="D73" s="24" t="s">
        <v>385</v>
      </c>
      <c r="E73" s="24" t="s">
        <v>21</v>
      </c>
      <c r="F73" s="24" t="s">
        <v>386</v>
      </c>
      <c r="G73" s="24" t="s">
        <v>387</v>
      </c>
      <c r="H73" s="26">
        <v>59</v>
      </c>
      <c r="I73" s="26">
        <v>82</v>
      </c>
      <c r="J73" s="33">
        <v>91</v>
      </c>
      <c r="K73" s="33">
        <v>94</v>
      </c>
      <c r="L73" s="26">
        <v>71</v>
      </c>
      <c r="M73" s="26">
        <v>83</v>
      </c>
      <c r="N73" s="24">
        <f t="shared" si="8"/>
        <v>480</v>
      </c>
      <c r="O73" s="27">
        <f t="shared" si="9"/>
        <v>80</v>
      </c>
      <c r="P73" s="28">
        <f t="shared" si="10"/>
        <v>0.8</v>
      </c>
      <c r="Q73" s="29" t="str">
        <f t="shared" si="11"/>
        <v>Pass</v>
      </c>
    </row>
    <row r="74" spans="1:17" ht="15" customHeight="1" x14ac:dyDescent="0.3">
      <c r="A74" s="30">
        <v>70</v>
      </c>
      <c r="B74" s="30" t="s">
        <v>388</v>
      </c>
      <c r="C74" s="31" t="s">
        <v>389</v>
      </c>
      <c r="D74" s="30" t="s">
        <v>390</v>
      </c>
      <c r="E74" s="30" t="s">
        <v>31</v>
      </c>
      <c r="F74" s="30" t="s">
        <v>391</v>
      </c>
      <c r="G74" s="30" t="s">
        <v>392</v>
      </c>
      <c r="H74" s="32">
        <v>55</v>
      </c>
      <c r="I74" s="32">
        <v>69</v>
      </c>
      <c r="J74" s="33">
        <v>92</v>
      </c>
      <c r="K74" s="32">
        <v>53</v>
      </c>
      <c r="L74" s="32">
        <v>90</v>
      </c>
      <c r="M74" s="32">
        <v>46</v>
      </c>
      <c r="N74" s="30">
        <f t="shared" si="8"/>
        <v>405</v>
      </c>
      <c r="O74" s="34">
        <f t="shared" si="9"/>
        <v>67.5</v>
      </c>
      <c r="P74" s="35">
        <f t="shared" si="10"/>
        <v>0.67500000000000004</v>
      </c>
      <c r="Q74" s="36" t="str">
        <f t="shared" si="11"/>
        <v>Pass</v>
      </c>
    </row>
    <row r="75" spans="1:17" ht="15" customHeight="1" x14ac:dyDescent="0.3">
      <c r="A75" s="24">
        <v>71</v>
      </c>
      <c r="B75" s="24" t="s">
        <v>393</v>
      </c>
      <c r="C75" s="25" t="s">
        <v>394</v>
      </c>
      <c r="D75" s="24" t="s">
        <v>395</v>
      </c>
      <c r="E75" s="24" t="s">
        <v>31</v>
      </c>
      <c r="F75" s="24" t="s">
        <v>396</v>
      </c>
      <c r="G75" s="24" t="s">
        <v>397</v>
      </c>
      <c r="H75" s="26">
        <v>47</v>
      </c>
      <c r="I75" s="26">
        <v>77</v>
      </c>
      <c r="J75" s="26">
        <v>53</v>
      </c>
      <c r="K75" s="26">
        <v>52</v>
      </c>
      <c r="L75" s="26">
        <v>39</v>
      </c>
      <c r="M75" s="26">
        <v>71</v>
      </c>
      <c r="N75" s="24">
        <f t="shared" si="8"/>
        <v>339</v>
      </c>
      <c r="O75" s="27">
        <f t="shared" si="9"/>
        <v>56.5</v>
      </c>
      <c r="P75" s="28">
        <f t="shared" si="10"/>
        <v>0.56499999999999995</v>
      </c>
      <c r="Q75" s="29" t="str">
        <f t="shared" si="11"/>
        <v>Pass</v>
      </c>
    </row>
    <row r="76" spans="1:17" ht="15" customHeight="1" x14ac:dyDescent="0.3">
      <c r="A76" s="30">
        <v>72</v>
      </c>
      <c r="B76" s="30" t="s">
        <v>398</v>
      </c>
      <c r="C76" s="31" t="s">
        <v>399</v>
      </c>
      <c r="D76" s="30" t="s">
        <v>400</v>
      </c>
      <c r="E76" s="30" t="s">
        <v>25</v>
      </c>
      <c r="F76" s="30" t="s">
        <v>401</v>
      </c>
      <c r="G76" s="30" t="s">
        <v>402</v>
      </c>
      <c r="H76" s="32">
        <v>50</v>
      </c>
      <c r="I76" s="32">
        <v>41</v>
      </c>
      <c r="J76" s="32">
        <v>65</v>
      </c>
      <c r="K76" s="32">
        <v>88</v>
      </c>
      <c r="L76" s="33">
        <v>93</v>
      </c>
      <c r="M76" s="32">
        <v>43</v>
      </c>
      <c r="N76" s="30">
        <f t="shared" si="8"/>
        <v>380</v>
      </c>
      <c r="O76" s="34">
        <f t="shared" si="9"/>
        <v>63.333333333333336</v>
      </c>
      <c r="P76" s="35">
        <f t="shared" si="10"/>
        <v>0.6333333333333333</v>
      </c>
      <c r="Q76" s="36" t="str">
        <f t="shared" si="11"/>
        <v>Pass</v>
      </c>
    </row>
    <row r="77" spans="1:17" ht="15" customHeight="1" x14ac:dyDescent="0.3">
      <c r="A77" s="24">
        <v>73</v>
      </c>
      <c r="B77" s="24" t="s">
        <v>403</v>
      </c>
      <c r="C77" s="25" t="s">
        <v>404</v>
      </c>
      <c r="D77" s="24" t="s">
        <v>405</v>
      </c>
      <c r="E77" s="24" t="s">
        <v>36</v>
      </c>
      <c r="F77" s="24" t="s">
        <v>406</v>
      </c>
      <c r="G77" s="24" t="s">
        <v>407</v>
      </c>
      <c r="H77" s="26">
        <v>45</v>
      </c>
      <c r="I77" s="26">
        <v>81</v>
      </c>
      <c r="J77" s="26">
        <v>43</v>
      </c>
      <c r="K77" s="26">
        <v>37</v>
      </c>
      <c r="L77" s="26">
        <v>84</v>
      </c>
      <c r="M77" s="33">
        <v>95</v>
      </c>
      <c r="N77" s="24">
        <f t="shared" si="8"/>
        <v>385</v>
      </c>
      <c r="O77" s="27">
        <f t="shared" si="9"/>
        <v>64.166666666666671</v>
      </c>
      <c r="P77" s="28">
        <f t="shared" si="10"/>
        <v>0.64166666666666672</v>
      </c>
      <c r="Q77" s="29" t="str">
        <f t="shared" si="11"/>
        <v>Pass</v>
      </c>
    </row>
    <row r="78" spans="1:17" ht="15" customHeight="1" x14ac:dyDescent="0.3">
      <c r="A78" s="30">
        <v>74</v>
      </c>
      <c r="B78" s="30" t="s">
        <v>408</v>
      </c>
      <c r="C78" s="31" t="s">
        <v>409</v>
      </c>
      <c r="D78" s="30" t="s">
        <v>410</v>
      </c>
      <c r="E78" s="30" t="s">
        <v>37</v>
      </c>
      <c r="F78" s="30" t="s">
        <v>411</v>
      </c>
      <c r="G78" s="30" t="s">
        <v>412</v>
      </c>
      <c r="H78" s="32">
        <v>57</v>
      </c>
      <c r="I78" s="33">
        <v>94</v>
      </c>
      <c r="J78" s="33">
        <v>96</v>
      </c>
      <c r="K78" s="32">
        <v>58</v>
      </c>
      <c r="L78" s="32">
        <v>52</v>
      </c>
      <c r="M78" s="32">
        <v>43</v>
      </c>
      <c r="N78" s="30">
        <f t="shared" si="8"/>
        <v>400</v>
      </c>
      <c r="O78" s="34">
        <f t="shared" si="9"/>
        <v>66.666666666666671</v>
      </c>
      <c r="P78" s="35">
        <f t="shared" si="10"/>
        <v>0.66666666666666663</v>
      </c>
      <c r="Q78" s="36" t="str">
        <f t="shared" si="11"/>
        <v>Pass</v>
      </c>
    </row>
    <row r="79" spans="1:17" ht="15" customHeight="1" x14ac:dyDescent="0.3">
      <c r="A79" s="24">
        <v>75</v>
      </c>
      <c r="B79" s="24" t="s">
        <v>413</v>
      </c>
      <c r="C79" s="25" t="s">
        <v>414</v>
      </c>
      <c r="D79" s="24" t="s">
        <v>415</v>
      </c>
      <c r="E79" s="24" t="s">
        <v>38</v>
      </c>
      <c r="F79" s="24" t="s">
        <v>123</v>
      </c>
      <c r="G79" s="24" t="s">
        <v>416</v>
      </c>
      <c r="H79" s="26">
        <v>50</v>
      </c>
      <c r="I79" s="26">
        <v>82</v>
      </c>
      <c r="J79" s="26">
        <v>90</v>
      </c>
      <c r="K79" s="26">
        <v>86</v>
      </c>
      <c r="L79" s="33">
        <v>91</v>
      </c>
      <c r="M79" s="26">
        <v>84</v>
      </c>
      <c r="N79" s="24">
        <f t="shared" si="8"/>
        <v>483</v>
      </c>
      <c r="O79" s="27">
        <f t="shared" si="9"/>
        <v>80.5</v>
      </c>
      <c r="P79" s="28">
        <f t="shared" si="10"/>
        <v>0.80500000000000005</v>
      </c>
      <c r="Q79" s="29" t="str">
        <f t="shared" si="11"/>
        <v>Pass</v>
      </c>
    </row>
    <row r="80" spans="1:17" ht="15" customHeight="1" x14ac:dyDescent="0.3">
      <c r="A80" s="30">
        <v>76</v>
      </c>
      <c r="B80" s="30" t="s">
        <v>417</v>
      </c>
      <c r="C80" s="31" t="s">
        <v>418</v>
      </c>
      <c r="D80" s="30" t="s">
        <v>419</v>
      </c>
      <c r="E80" s="30" t="s">
        <v>32</v>
      </c>
      <c r="F80" s="30" t="s">
        <v>420</v>
      </c>
      <c r="G80" s="30" t="s">
        <v>407</v>
      </c>
      <c r="H80" s="32">
        <v>45</v>
      </c>
      <c r="I80" s="32">
        <v>76</v>
      </c>
      <c r="J80" s="32">
        <v>72</v>
      </c>
      <c r="K80" s="32">
        <v>74</v>
      </c>
      <c r="L80" s="33">
        <v>92</v>
      </c>
      <c r="M80" s="32">
        <v>89</v>
      </c>
      <c r="N80" s="30">
        <f t="shared" si="8"/>
        <v>448</v>
      </c>
      <c r="O80" s="34">
        <f t="shared" si="9"/>
        <v>74.666666666666671</v>
      </c>
      <c r="P80" s="35">
        <f t="shared" si="10"/>
        <v>0.7466666666666667</v>
      </c>
      <c r="Q80" s="36" t="str">
        <f t="shared" si="11"/>
        <v>Pass</v>
      </c>
    </row>
    <row r="81" spans="1:17" ht="15" customHeight="1" x14ac:dyDescent="0.3">
      <c r="A81" s="24">
        <v>77</v>
      </c>
      <c r="B81" s="24" t="s">
        <v>421</v>
      </c>
      <c r="C81" s="25" t="s">
        <v>422</v>
      </c>
      <c r="D81" s="24" t="s">
        <v>423</v>
      </c>
      <c r="E81" s="24" t="s">
        <v>38</v>
      </c>
      <c r="F81" s="24" t="s">
        <v>424</v>
      </c>
      <c r="G81" s="24" t="s">
        <v>425</v>
      </c>
      <c r="H81" s="33">
        <v>91</v>
      </c>
      <c r="I81" s="26">
        <v>39</v>
      </c>
      <c r="J81" s="26">
        <v>51</v>
      </c>
      <c r="K81" s="26">
        <v>43</v>
      </c>
      <c r="L81" s="26">
        <v>65</v>
      </c>
      <c r="M81" s="26">
        <v>81</v>
      </c>
      <c r="N81" s="24">
        <f t="shared" si="8"/>
        <v>370</v>
      </c>
      <c r="O81" s="27">
        <f t="shared" si="9"/>
        <v>61.666666666666664</v>
      </c>
      <c r="P81" s="28">
        <f t="shared" si="10"/>
        <v>0.6166666666666667</v>
      </c>
      <c r="Q81" s="29" t="str">
        <f t="shared" si="11"/>
        <v>Pass</v>
      </c>
    </row>
    <row r="82" spans="1:17" ht="15" customHeight="1" x14ac:dyDescent="0.3">
      <c r="A82" s="30">
        <v>78</v>
      </c>
      <c r="B82" s="30" t="s">
        <v>426</v>
      </c>
      <c r="C82" s="31" t="s">
        <v>427</v>
      </c>
      <c r="D82" s="30" t="s">
        <v>428</v>
      </c>
      <c r="E82" s="30" t="s">
        <v>21</v>
      </c>
      <c r="F82" s="30" t="s">
        <v>429</v>
      </c>
      <c r="G82" s="30" t="s">
        <v>430</v>
      </c>
      <c r="H82" s="32">
        <v>70</v>
      </c>
      <c r="I82" s="32">
        <v>66</v>
      </c>
      <c r="J82" s="32">
        <v>49</v>
      </c>
      <c r="K82" s="32">
        <v>38</v>
      </c>
      <c r="L82" s="32">
        <v>58</v>
      </c>
      <c r="M82" s="33">
        <v>98</v>
      </c>
      <c r="N82" s="30">
        <f t="shared" si="8"/>
        <v>379</v>
      </c>
      <c r="O82" s="34">
        <f t="shared" si="9"/>
        <v>63.166666666666664</v>
      </c>
      <c r="P82" s="35">
        <f t="shared" si="10"/>
        <v>0.63166666666666671</v>
      </c>
      <c r="Q82" s="36" t="str">
        <f t="shared" si="11"/>
        <v>Pass</v>
      </c>
    </row>
    <row r="83" spans="1:17" ht="15" customHeight="1" x14ac:dyDescent="0.3">
      <c r="A83" s="24">
        <v>79</v>
      </c>
      <c r="B83" s="24" t="s">
        <v>431</v>
      </c>
      <c r="C83" s="25" t="s">
        <v>432</v>
      </c>
      <c r="D83" s="24" t="s">
        <v>433</v>
      </c>
      <c r="E83" s="24" t="s">
        <v>31</v>
      </c>
      <c r="F83" s="24" t="s">
        <v>434</v>
      </c>
      <c r="G83" s="24" t="s">
        <v>435</v>
      </c>
      <c r="H83" s="33">
        <v>91</v>
      </c>
      <c r="I83" s="26">
        <v>46</v>
      </c>
      <c r="J83" s="26">
        <v>75</v>
      </c>
      <c r="K83" s="26">
        <v>79</v>
      </c>
      <c r="L83" s="26">
        <v>43</v>
      </c>
      <c r="M83" s="26">
        <v>72</v>
      </c>
      <c r="N83" s="24">
        <f t="shared" si="8"/>
        <v>406</v>
      </c>
      <c r="O83" s="27">
        <f t="shared" si="9"/>
        <v>67.666666666666671</v>
      </c>
      <c r="P83" s="28">
        <f t="shared" si="10"/>
        <v>0.67666666666666664</v>
      </c>
      <c r="Q83" s="29" t="str">
        <f t="shared" si="11"/>
        <v>Pass</v>
      </c>
    </row>
    <row r="84" spans="1:17" ht="15" customHeight="1" x14ac:dyDescent="0.3">
      <c r="A84" s="30">
        <v>80</v>
      </c>
      <c r="B84" s="30" t="s">
        <v>436</v>
      </c>
      <c r="C84" s="31" t="s">
        <v>437</v>
      </c>
      <c r="D84" s="30" t="s">
        <v>438</v>
      </c>
      <c r="E84" s="30" t="s">
        <v>33</v>
      </c>
      <c r="F84" s="30" t="s">
        <v>439</v>
      </c>
      <c r="G84" s="30" t="s">
        <v>440</v>
      </c>
      <c r="H84" s="32">
        <v>82</v>
      </c>
      <c r="I84" s="33">
        <v>94</v>
      </c>
      <c r="J84" s="32">
        <v>51</v>
      </c>
      <c r="K84" s="32">
        <v>46</v>
      </c>
      <c r="L84" s="32">
        <v>43</v>
      </c>
      <c r="M84" s="32">
        <v>74</v>
      </c>
      <c r="N84" s="30">
        <f t="shared" si="8"/>
        <v>390</v>
      </c>
      <c r="O84" s="34">
        <f t="shared" si="9"/>
        <v>65</v>
      </c>
      <c r="P84" s="35">
        <f t="shared" si="10"/>
        <v>0.65</v>
      </c>
      <c r="Q84" s="36" t="str">
        <f t="shared" si="11"/>
        <v>Pass</v>
      </c>
    </row>
    <row r="85" spans="1:17" ht="15" customHeight="1" x14ac:dyDescent="0.3">
      <c r="A85" s="24">
        <v>81</v>
      </c>
      <c r="B85" s="24" t="s">
        <v>441</v>
      </c>
      <c r="C85" s="25" t="s">
        <v>442</v>
      </c>
      <c r="D85" s="24" t="s">
        <v>443</v>
      </c>
      <c r="E85" s="24" t="s">
        <v>38</v>
      </c>
      <c r="F85" s="24" t="s">
        <v>444</v>
      </c>
      <c r="G85" s="24" t="s">
        <v>445</v>
      </c>
      <c r="H85" s="26">
        <v>54</v>
      </c>
      <c r="I85" s="26">
        <v>73</v>
      </c>
      <c r="J85" s="26">
        <v>56</v>
      </c>
      <c r="K85" s="26">
        <v>55</v>
      </c>
      <c r="L85" s="26">
        <v>76</v>
      </c>
      <c r="M85" s="26">
        <v>63</v>
      </c>
      <c r="N85" s="24">
        <f t="shared" si="8"/>
        <v>377</v>
      </c>
      <c r="O85" s="27">
        <f t="shared" si="9"/>
        <v>62.833333333333336</v>
      </c>
      <c r="P85" s="28">
        <f t="shared" si="10"/>
        <v>0.6283333333333333</v>
      </c>
      <c r="Q85" s="29" t="str">
        <f t="shared" si="11"/>
        <v>Pass</v>
      </c>
    </row>
    <row r="86" spans="1:17" ht="15" customHeight="1" x14ac:dyDescent="0.3">
      <c r="A86" s="30">
        <v>82</v>
      </c>
      <c r="B86" s="30" t="s">
        <v>446</v>
      </c>
      <c r="C86" s="31" t="s">
        <v>447</v>
      </c>
      <c r="D86" s="30" t="s">
        <v>448</v>
      </c>
      <c r="E86" s="30" t="s">
        <v>29</v>
      </c>
      <c r="F86" s="30" t="s">
        <v>449</v>
      </c>
      <c r="G86" s="30" t="s">
        <v>450</v>
      </c>
      <c r="H86" s="32">
        <v>56</v>
      </c>
      <c r="I86" s="32">
        <v>78</v>
      </c>
      <c r="J86" s="32">
        <v>40</v>
      </c>
      <c r="K86" s="32">
        <v>38</v>
      </c>
      <c r="L86" s="32">
        <v>45</v>
      </c>
      <c r="M86" s="32">
        <v>40</v>
      </c>
      <c r="N86" s="30">
        <f t="shared" si="8"/>
        <v>297</v>
      </c>
      <c r="O86" s="34">
        <f t="shared" si="9"/>
        <v>49.5</v>
      </c>
      <c r="P86" s="35">
        <f t="shared" si="10"/>
        <v>0.495</v>
      </c>
      <c r="Q86" s="36" t="str">
        <f t="shared" si="11"/>
        <v>Pass</v>
      </c>
    </row>
    <row r="87" spans="1:17" ht="15" customHeight="1" x14ac:dyDescent="0.3">
      <c r="A87" s="24">
        <v>83</v>
      </c>
      <c r="B87" s="24" t="s">
        <v>451</v>
      </c>
      <c r="C87" s="25" t="s">
        <v>452</v>
      </c>
      <c r="D87" s="24" t="s">
        <v>453</v>
      </c>
      <c r="E87" s="24" t="s">
        <v>34</v>
      </c>
      <c r="F87" s="24" t="s">
        <v>454</v>
      </c>
      <c r="G87" s="24" t="s">
        <v>455</v>
      </c>
      <c r="H87" s="33">
        <v>93</v>
      </c>
      <c r="I87" s="26">
        <v>44</v>
      </c>
      <c r="J87" s="26">
        <v>42</v>
      </c>
      <c r="K87" s="26">
        <v>55</v>
      </c>
      <c r="L87" s="33">
        <v>91</v>
      </c>
      <c r="M87" s="26">
        <v>88</v>
      </c>
      <c r="N87" s="24">
        <f t="shared" si="8"/>
        <v>413</v>
      </c>
      <c r="O87" s="27">
        <f t="shared" si="9"/>
        <v>68.833333333333329</v>
      </c>
      <c r="P87" s="28">
        <f t="shared" si="10"/>
        <v>0.68833333333333335</v>
      </c>
      <c r="Q87" s="29" t="str">
        <f t="shared" si="11"/>
        <v>Pass</v>
      </c>
    </row>
    <row r="88" spans="1:17" ht="15" customHeight="1" x14ac:dyDescent="0.3">
      <c r="A88" s="30">
        <v>84</v>
      </c>
      <c r="B88" s="30" t="s">
        <v>456</v>
      </c>
      <c r="C88" s="31" t="s">
        <v>457</v>
      </c>
      <c r="D88" s="30" t="s">
        <v>458</v>
      </c>
      <c r="E88" s="30" t="s">
        <v>36</v>
      </c>
      <c r="F88" s="30" t="s">
        <v>459</v>
      </c>
      <c r="G88" s="30" t="s">
        <v>209</v>
      </c>
      <c r="H88" s="32">
        <v>50</v>
      </c>
      <c r="I88" s="32">
        <v>69</v>
      </c>
      <c r="J88" s="33">
        <v>92</v>
      </c>
      <c r="K88" s="32">
        <v>66</v>
      </c>
      <c r="L88" s="32">
        <v>53</v>
      </c>
      <c r="M88" s="32">
        <v>47</v>
      </c>
      <c r="N88" s="30">
        <f t="shared" si="8"/>
        <v>377</v>
      </c>
      <c r="O88" s="34">
        <f t="shared" si="9"/>
        <v>62.833333333333336</v>
      </c>
      <c r="P88" s="35">
        <f t="shared" si="10"/>
        <v>0.6283333333333333</v>
      </c>
      <c r="Q88" s="36" t="str">
        <f t="shared" si="11"/>
        <v>Pass</v>
      </c>
    </row>
    <row r="89" spans="1:17" ht="15" customHeight="1" x14ac:dyDescent="0.3">
      <c r="A89" s="24">
        <v>85</v>
      </c>
      <c r="B89" s="24" t="s">
        <v>460</v>
      </c>
      <c r="C89" s="25" t="s">
        <v>461</v>
      </c>
      <c r="D89" s="24" t="s">
        <v>462</v>
      </c>
      <c r="E89" s="24" t="s">
        <v>30</v>
      </c>
      <c r="F89" s="24" t="s">
        <v>463</v>
      </c>
      <c r="G89" s="24" t="s">
        <v>336</v>
      </c>
      <c r="H89" s="33">
        <v>98</v>
      </c>
      <c r="I89" s="26">
        <v>37</v>
      </c>
      <c r="J89" s="26">
        <v>46</v>
      </c>
      <c r="K89" s="26">
        <v>85</v>
      </c>
      <c r="L89" s="33">
        <v>93</v>
      </c>
      <c r="M89" s="26">
        <v>65</v>
      </c>
      <c r="N89" s="24">
        <f t="shared" si="8"/>
        <v>424</v>
      </c>
      <c r="O89" s="27">
        <f t="shared" si="9"/>
        <v>70.666666666666671</v>
      </c>
      <c r="P89" s="28">
        <f t="shared" si="10"/>
        <v>0.70666666666666667</v>
      </c>
      <c r="Q89" s="29" t="str">
        <f t="shared" si="11"/>
        <v>Pass</v>
      </c>
    </row>
    <row r="90" spans="1:17" ht="15" customHeight="1" x14ac:dyDescent="0.3">
      <c r="A90" s="30">
        <v>86</v>
      </c>
      <c r="B90" s="30" t="s">
        <v>464</v>
      </c>
      <c r="C90" s="31" t="s">
        <v>465</v>
      </c>
      <c r="D90" s="30" t="s">
        <v>466</v>
      </c>
      <c r="E90" s="30" t="s">
        <v>25</v>
      </c>
      <c r="F90" s="30" t="s">
        <v>467</v>
      </c>
      <c r="G90" s="30" t="s">
        <v>468</v>
      </c>
      <c r="H90" s="32">
        <v>31</v>
      </c>
      <c r="I90" s="37">
        <v>27</v>
      </c>
      <c r="J90" s="37">
        <v>23</v>
      </c>
      <c r="K90" s="37">
        <v>19</v>
      </c>
      <c r="L90" s="37">
        <v>23</v>
      </c>
      <c r="M90" s="37">
        <v>13</v>
      </c>
      <c r="N90" s="38">
        <f t="shared" si="8"/>
        <v>136</v>
      </c>
      <c r="O90" s="39">
        <f t="shared" si="9"/>
        <v>22.666666666666668</v>
      </c>
      <c r="P90" s="40">
        <f t="shared" si="10"/>
        <v>0.22666666666666666</v>
      </c>
      <c r="Q90" s="38" t="str">
        <f t="shared" si="11"/>
        <v>Fail</v>
      </c>
    </row>
    <row r="91" spans="1:17" ht="15" customHeight="1" x14ac:dyDescent="0.3">
      <c r="A91" s="24">
        <v>87</v>
      </c>
      <c r="B91" s="24" t="s">
        <v>469</v>
      </c>
      <c r="C91" s="25" t="s">
        <v>470</v>
      </c>
      <c r="D91" s="24" t="s">
        <v>471</v>
      </c>
      <c r="E91" s="24" t="s">
        <v>35</v>
      </c>
      <c r="F91" s="24" t="s">
        <v>203</v>
      </c>
      <c r="G91" s="24" t="s">
        <v>472</v>
      </c>
      <c r="H91" s="26">
        <v>86</v>
      </c>
      <c r="I91" s="26">
        <v>40</v>
      </c>
      <c r="J91" s="26">
        <v>40</v>
      </c>
      <c r="K91" s="26">
        <v>39</v>
      </c>
      <c r="L91" s="26">
        <v>52</v>
      </c>
      <c r="M91" s="26">
        <v>77</v>
      </c>
      <c r="N91" s="24">
        <f t="shared" si="8"/>
        <v>334</v>
      </c>
      <c r="O91" s="27">
        <f t="shared" si="9"/>
        <v>55.666666666666664</v>
      </c>
      <c r="P91" s="28">
        <f t="shared" si="10"/>
        <v>0.55666666666666664</v>
      </c>
      <c r="Q91" s="29" t="str">
        <f t="shared" si="11"/>
        <v>Pass</v>
      </c>
    </row>
    <row r="92" spans="1:17" ht="15" customHeight="1" x14ac:dyDescent="0.3">
      <c r="A92" s="30">
        <v>88</v>
      </c>
      <c r="B92" s="30" t="s">
        <v>473</v>
      </c>
      <c r="C92" s="31" t="s">
        <v>474</v>
      </c>
      <c r="D92" s="30" t="s">
        <v>475</v>
      </c>
      <c r="E92" s="30" t="s">
        <v>29</v>
      </c>
      <c r="F92" s="30" t="s">
        <v>476</v>
      </c>
      <c r="G92" s="30" t="s">
        <v>477</v>
      </c>
      <c r="H92" s="33">
        <v>97</v>
      </c>
      <c r="I92" s="32">
        <v>73</v>
      </c>
      <c r="J92" s="33">
        <v>95</v>
      </c>
      <c r="K92" s="32">
        <v>37</v>
      </c>
      <c r="L92" s="32">
        <v>82</v>
      </c>
      <c r="M92" s="32">
        <v>77</v>
      </c>
      <c r="N92" s="30">
        <f t="shared" si="8"/>
        <v>461</v>
      </c>
      <c r="O92" s="34">
        <f t="shared" si="9"/>
        <v>76.833333333333329</v>
      </c>
      <c r="P92" s="35">
        <f t="shared" si="10"/>
        <v>0.76833333333333331</v>
      </c>
      <c r="Q92" s="36" t="str">
        <f t="shared" si="11"/>
        <v>Pass</v>
      </c>
    </row>
    <row r="93" spans="1:17" ht="15" customHeight="1" x14ac:dyDescent="0.3">
      <c r="A93" s="24">
        <v>89</v>
      </c>
      <c r="B93" s="24" t="s">
        <v>478</v>
      </c>
      <c r="C93" s="25" t="s">
        <v>479</v>
      </c>
      <c r="D93" s="24" t="s">
        <v>480</v>
      </c>
      <c r="E93" s="24" t="s">
        <v>36</v>
      </c>
      <c r="F93" s="24" t="s">
        <v>295</v>
      </c>
      <c r="G93" s="24" t="s">
        <v>481</v>
      </c>
      <c r="H93" s="26">
        <v>83</v>
      </c>
      <c r="I93" s="26">
        <v>53</v>
      </c>
      <c r="J93" s="26">
        <v>66</v>
      </c>
      <c r="K93" s="26">
        <v>39</v>
      </c>
      <c r="L93" s="26">
        <v>49</v>
      </c>
      <c r="M93" s="26">
        <v>59</v>
      </c>
      <c r="N93" s="24">
        <f t="shared" si="8"/>
        <v>349</v>
      </c>
      <c r="O93" s="27">
        <f t="shared" si="9"/>
        <v>58.166666666666664</v>
      </c>
      <c r="P93" s="28">
        <f t="shared" si="10"/>
        <v>0.58166666666666667</v>
      </c>
      <c r="Q93" s="29" t="str">
        <f t="shared" si="11"/>
        <v>Pass</v>
      </c>
    </row>
    <row r="94" spans="1:17" ht="15" customHeight="1" x14ac:dyDescent="0.3">
      <c r="A94" s="30">
        <v>90</v>
      </c>
      <c r="B94" s="30" t="s">
        <v>482</v>
      </c>
      <c r="C94" s="31" t="s">
        <v>483</v>
      </c>
      <c r="D94" s="30" t="s">
        <v>484</v>
      </c>
      <c r="E94" s="30" t="s">
        <v>21</v>
      </c>
      <c r="F94" s="30" t="s">
        <v>485</v>
      </c>
      <c r="G94" s="30" t="s">
        <v>450</v>
      </c>
      <c r="H94" s="33">
        <v>96</v>
      </c>
      <c r="I94" s="32">
        <v>83</v>
      </c>
      <c r="J94" s="32">
        <v>75</v>
      </c>
      <c r="K94" s="32">
        <v>57</v>
      </c>
      <c r="L94" s="33">
        <v>93</v>
      </c>
      <c r="M94" s="32">
        <v>78</v>
      </c>
      <c r="N94" s="30">
        <f t="shared" si="8"/>
        <v>482</v>
      </c>
      <c r="O94" s="34">
        <f t="shared" si="9"/>
        <v>80.333333333333329</v>
      </c>
      <c r="P94" s="35">
        <f t="shared" si="10"/>
        <v>0.80333333333333334</v>
      </c>
      <c r="Q94" s="36" t="str">
        <f t="shared" si="11"/>
        <v>Pass</v>
      </c>
    </row>
    <row r="95" spans="1:17" ht="15" customHeight="1" x14ac:dyDescent="0.3">
      <c r="A95" s="24">
        <v>91</v>
      </c>
      <c r="B95" s="24" t="s">
        <v>486</v>
      </c>
      <c r="C95" s="25" t="s">
        <v>487</v>
      </c>
      <c r="D95" s="24" t="s">
        <v>488</v>
      </c>
      <c r="E95" s="24" t="s">
        <v>35</v>
      </c>
      <c r="F95" s="24" t="s">
        <v>489</v>
      </c>
      <c r="G95" s="24" t="s">
        <v>490</v>
      </c>
      <c r="H95" s="26">
        <v>70</v>
      </c>
      <c r="I95" s="26">
        <v>71</v>
      </c>
      <c r="J95" s="26">
        <v>50</v>
      </c>
      <c r="K95" s="26">
        <v>83</v>
      </c>
      <c r="L95" s="26">
        <v>85</v>
      </c>
      <c r="M95" s="26">
        <v>79</v>
      </c>
      <c r="N95" s="24">
        <f t="shared" si="8"/>
        <v>438</v>
      </c>
      <c r="O95" s="27">
        <f t="shared" si="9"/>
        <v>73</v>
      </c>
      <c r="P95" s="28">
        <f t="shared" si="10"/>
        <v>0.73</v>
      </c>
      <c r="Q95" s="29" t="str">
        <f t="shared" si="11"/>
        <v>Pass</v>
      </c>
    </row>
    <row r="96" spans="1:17" ht="15" customHeight="1" x14ac:dyDescent="0.3">
      <c r="A96" s="30">
        <v>92</v>
      </c>
      <c r="B96" s="30" t="s">
        <v>491</v>
      </c>
      <c r="C96" s="31" t="s">
        <v>492</v>
      </c>
      <c r="D96" s="30" t="s">
        <v>493</v>
      </c>
      <c r="E96" s="30" t="s">
        <v>36</v>
      </c>
      <c r="F96" s="30" t="s">
        <v>494</v>
      </c>
      <c r="G96" s="30" t="s">
        <v>495</v>
      </c>
      <c r="H96" s="32">
        <v>48</v>
      </c>
      <c r="I96" s="32">
        <v>65</v>
      </c>
      <c r="J96" s="32">
        <v>66</v>
      </c>
      <c r="K96" s="32">
        <v>41</v>
      </c>
      <c r="L96" s="32">
        <v>63</v>
      </c>
      <c r="M96" s="32">
        <v>64</v>
      </c>
      <c r="N96" s="30">
        <f t="shared" si="8"/>
        <v>347</v>
      </c>
      <c r="O96" s="34">
        <f t="shared" si="9"/>
        <v>57.833333333333336</v>
      </c>
      <c r="P96" s="35">
        <f t="shared" si="10"/>
        <v>0.57833333333333337</v>
      </c>
      <c r="Q96" s="36" t="str">
        <f t="shared" si="11"/>
        <v>Pass</v>
      </c>
    </row>
    <row r="97" spans="1:17" ht="15" customHeight="1" x14ac:dyDescent="0.3">
      <c r="A97" s="24">
        <v>93</v>
      </c>
      <c r="B97" s="24" t="s">
        <v>496</v>
      </c>
      <c r="C97" s="25" t="s">
        <v>497</v>
      </c>
      <c r="D97" s="24" t="s">
        <v>498</v>
      </c>
      <c r="E97" s="24" t="s">
        <v>31</v>
      </c>
      <c r="F97" s="24" t="s">
        <v>499</v>
      </c>
      <c r="G97" s="24" t="s">
        <v>500</v>
      </c>
      <c r="H97" s="26">
        <v>42</v>
      </c>
      <c r="I97" s="26">
        <v>46</v>
      </c>
      <c r="J97" s="26">
        <v>64</v>
      </c>
      <c r="K97" s="26">
        <v>39</v>
      </c>
      <c r="L97" s="26">
        <v>57</v>
      </c>
      <c r="M97" s="26">
        <v>88</v>
      </c>
      <c r="N97" s="24">
        <f t="shared" si="8"/>
        <v>336</v>
      </c>
      <c r="O97" s="27">
        <f t="shared" si="9"/>
        <v>56</v>
      </c>
      <c r="P97" s="28">
        <f t="shared" si="10"/>
        <v>0.56000000000000005</v>
      </c>
      <c r="Q97" s="29" t="str">
        <f t="shared" si="11"/>
        <v>Pass</v>
      </c>
    </row>
    <row r="98" spans="1:17" ht="15" customHeight="1" x14ac:dyDescent="0.3">
      <c r="A98" s="30">
        <v>94</v>
      </c>
      <c r="B98" s="30" t="s">
        <v>501</v>
      </c>
      <c r="C98" s="31" t="s">
        <v>502</v>
      </c>
      <c r="D98" s="30" t="s">
        <v>503</v>
      </c>
      <c r="E98" s="30" t="s">
        <v>38</v>
      </c>
      <c r="F98" s="30" t="s">
        <v>504</v>
      </c>
      <c r="G98" s="30" t="s">
        <v>505</v>
      </c>
      <c r="H98" s="33">
        <v>98</v>
      </c>
      <c r="I98" s="32">
        <v>52</v>
      </c>
      <c r="J98" s="33">
        <v>94</v>
      </c>
      <c r="K98" s="32">
        <v>69</v>
      </c>
      <c r="L98" s="32">
        <v>59</v>
      </c>
      <c r="M98" s="32">
        <v>49</v>
      </c>
      <c r="N98" s="30">
        <f t="shared" si="8"/>
        <v>421</v>
      </c>
      <c r="O98" s="34">
        <f t="shared" si="9"/>
        <v>70.166666666666671</v>
      </c>
      <c r="P98" s="35">
        <f t="shared" si="10"/>
        <v>0.70166666666666666</v>
      </c>
      <c r="Q98" s="36" t="str">
        <f t="shared" si="11"/>
        <v>Pass</v>
      </c>
    </row>
    <row r="99" spans="1:17" ht="15" customHeight="1" x14ac:dyDescent="0.3">
      <c r="A99" s="24">
        <v>95</v>
      </c>
      <c r="B99" s="24" t="s">
        <v>506</v>
      </c>
      <c r="C99" s="25" t="s">
        <v>507</v>
      </c>
      <c r="D99" s="24" t="s">
        <v>508</v>
      </c>
      <c r="E99" s="24" t="s">
        <v>33</v>
      </c>
      <c r="F99" s="24" t="s">
        <v>509</v>
      </c>
      <c r="G99" s="24" t="s">
        <v>124</v>
      </c>
      <c r="H99" s="26">
        <v>52</v>
      </c>
      <c r="I99" s="33">
        <v>96</v>
      </c>
      <c r="J99" s="26">
        <v>76</v>
      </c>
      <c r="K99" s="26">
        <v>66</v>
      </c>
      <c r="L99" s="26">
        <v>35</v>
      </c>
      <c r="M99" s="26">
        <v>68</v>
      </c>
      <c r="N99" s="24">
        <f t="shared" si="8"/>
        <v>393</v>
      </c>
      <c r="O99" s="27">
        <f t="shared" si="9"/>
        <v>65.5</v>
      </c>
      <c r="P99" s="28">
        <f t="shared" si="10"/>
        <v>0.65500000000000003</v>
      </c>
      <c r="Q99" s="29" t="str">
        <f t="shared" si="11"/>
        <v>Pass</v>
      </c>
    </row>
    <row r="100" spans="1:17" ht="15" customHeight="1" x14ac:dyDescent="0.3">
      <c r="A100" s="30">
        <v>96</v>
      </c>
      <c r="B100" s="30" t="s">
        <v>510</v>
      </c>
      <c r="C100" s="31" t="s">
        <v>511</v>
      </c>
      <c r="D100" s="30" t="s">
        <v>512</v>
      </c>
      <c r="E100" s="30" t="s">
        <v>32</v>
      </c>
      <c r="F100" s="30" t="s">
        <v>401</v>
      </c>
      <c r="G100" s="30" t="s">
        <v>513</v>
      </c>
      <c r="H100" s="32">
        <v>74</v>
      </c>
      <c r="I100" s="32">
        <v>50</v>
      </c>
      <c r="J100" s="32">
        <v>72</v>
      </c>
      <c r="K100" s="32">
        <v>82</v>
      </c>
      <c r="L100" s="32">
        <v>63</v>
      </c>
      <c r="M100" s="32">
        <v>63</v>
      </c>
      <c r="N100" s="30">
        <f t="shared" si="8"/>
        <v>404</v>
      </c>
      <c r="O100" s="34">
        <f t="shared" si="9"/>
        <v>67.333333333333329</v>
      </c>
      <c r="P100" s="35">
        <f t="shared" si="10"/>
        <v>0.67333333333333334</v>
      </c>
      <c r="Q100" s="36" t="str">
        <f t="shared" si="11"/>
        <v>Pass</v>
      </c>
    </row>
    <row r="101" spans="1:17" ht="15" customHeight="1" x14ac:dyDescent="0.3">
      <c r="A101" s="24">
        <v>97</v>
      </c>
      <c r="B101" s="24" t="s">
        <v>514</v>
      </c>
      <c r="C101" s="25" t="s">
        <v>515</v>
      </c>
      <c r="D101" s="24" t="s">
        <v>516</v>
      </c>
      <c r="E101" s="24" t="s">
        <v>32</v>
      </c>
      <c r="F101" s="24" t="s">
        <v>517</v>
      </c>
      <c r="G101" s="24" t="s">
        <v>518</v>
      </c>
      <c r="H101" s="26">
        <v>81</v>
      </c>
      <c r="I101" s="26">
        <v>44</v>
      </c>
      <c r="J101" s="26">
        <v>49</v>
      </c>
      <c r="K101" s="26">
        <v>42</v>
      </c>
      <c r="L101" s="26">
        <v>60</v>
      </c>
      <c r="M101" s="26">
        <v>54</v>
      </c>
      <c r="N101" s="24">
        <f t="shared" ref="N101:N132" si="12">SUM(H101:M101)</f>
        <v>330</v>
      </c>
      <c r="O101" s="27">
        <f t="shared" si="9"/>
        <v>55</v>
      </c>
      <c r="P101" s="28">
        <f t="shared" si="10"/>
        <v>0.55000000000000004</v>
      </c>
      <c r="Q101" s="29" t="str">
        <f t="shared" ref="Q101:Q132" si="13">IF(P101&lt;0.3,"Fail","Pass")</f>
        <v>Pass</v>
      </c>
    </row>
    <row r="102" spans="1:17" ht="15" customHeight="1" x14ac:dyDescent="0.3">
      <c r="A102" s="30">
        <v>98</v>
      </c>
      <c r="B102" s="30" t="s">
        <v>519</v>
      </c>
      <c r="C102" s="31" t="s">
        <v>520</v>
      </c>
      <c r="D102" s="30" t="s">
        <v>521</v>
      </c>
      <c r="E102" s="30" t="s">
        <v>23</v>
      </c>
      <c r="F102" s="30" t="s">
        <v>310</v>
      </c>
      <c r="G102" s="30" t="s">
        <v>522</v>
      </c>
      <c r="H102" s="32">
        <v>42</v>
      </c>
      <c r="I102" s="33">
        <v>94</v>
      </c>
      <c r="J102" s="32">
        <v>74</v>
      </c>
      <c r="K102" s="32">
        <v>37</v>
      </c>
      <c r="L102" s="32">
        <v>85</v>
      </c>
      <c r="M102" s="32">
        <v>67</v>
      </c>
      <c r="N102" s="30">
        <f t="shared" si="12"/>
        <v>399</v>
      </c>
      <c r="O102" s="34">
        <f t="shared" si="9"/>
        <v>66.5</v>
      </c>
      <c r="P102" s="35">
        <f t="shared" si="10"/>
        <v>0.66500000000000004</v>
      </c>
      <c r="Q102" s="36" t="str">
        <f t="shared" si="13"/>
        <v>Pass</v>
      </c>
    </row>
    <row r="103" spans="1:17" ht="15" customHeight="1" x14ac:dyDescent="0.3">
      <c r="A103" s="24">
        <v>99</v>
      </c>
      <c r="B103" s="24" t="s">
        <v>523</v>
      </c>
      <c r="C103" s="25" t="s">
        <v>524</v>
      </c>
      <c r="D103" s="24" t="s">
        <v>525</v>
      </c>
      <c r="E103" s="24" t="s">
        <v>25</v>
      </c>
      <c r="F103" s="24" t="s">
        <v>526</v>
      </c>
      <c r="G103" s="24" t="s">
        <v>527</v>
      </c>
      <c r="H103" s="33">
        <v>92</v>
      </c>
      <c r="I103" s="26">
        <v>83</v>
      </c>
      <c r="J103" s="26">
        <v>83</v>
      </c>
      <c r="K103" s="26">
        <v>45</v>
      </c>
      <c r="L103" s="26">
        <v>52</v>
      </c>
      <c r="M103" s="26">
        <v>79</v>
      </c>
      <c r="N103" s="24">
        <f t="shared" si="12"/>
        <v>434</v>
      </c>
      <c r="O103" s="27">
        <f t="shared" si="9"/>
        <v>72.333333333333329</v>
      </c>
      <c r="P103" s="28">
        <f t="shared" si="10"/>
        <v>0.72333333333333338</v>
      </c>
      <c r="Q103" s="29" t="str">
        <f t="shared" si="13"/>
        <v>Pass</v>
      </c>
    </row>
    <row r="104" spans="1:17" ht="15" customHeight="1" x14ac:dyDescent="0.3">
      <c r="A104" s="30">
        <v>100</v>
      </c>
      <c r="B104" s="30" t="s">
        <v>528</v>
      </c>
      <c r="C104" s="31" t="s">
        <v>529</v>
      </c>
      <c r="D104" s="30" t="s">
        <v>530</v>
      </c>
      <c r="E104" s="30" t="s">
        <v>35</v>
      </c>
      <c r="F104" s="30" t="s">
        <v>531</v>
      </c>
      <c r="G104" s="30" t="s">
        <v>532</v>
      </c>
      <c r="H104" s="32">
        <v>79</v>
      </c>
      <c r="I104" s="32">
        <v>54</v>
      </c>
      <c r="J104" s="32">
        <v>70</v>
      </c>
      <c r="K104" s="32">
        <v>59</v>
      </c>
      <c r="L104" s="32">
        <v>49</v>
      </c>
      <c r="M104" s="32">
        <v>39</v>
      </c>
      <c r="N104" s="30">
        <f t="shared" si="12"/>
        <v>350</v>
      </c>
      <c r="O104" s="34">
        <f t="shared" si="9"/>
        <v>58.333333333333336</v>
      </c>
      <c r="P104" s="35">
        <f t="shared" si="10"/>
        <v>0.58333333333333337</v>
      </c>
      <c r="Q104" s="36" t="str">
        <f t="shared" si="13"/>
        <v>Pass</v>
      </c>
    </row>
  </sheetData>
  <autoFilter ref="A4:Q104" xr:uid="{00000000-0009-0000-0000-000001000000}"/>
  <mergeCells count="8">
    <mergeCell ref="A3:G3"/>
    <mergeCell ref="H3:M3"/>
    <mergeCell ref="N3:Q3"/>
    <mergeCell ref="A1:Q1"/>
    <mergeCell ref="A2:G2"/>
    <mergeCell ref="H2:J2"/>
    <mergeCell ref="K2:M2"/>
    <mergeCell ref="N2:Q2"/>
  </mergeCells>
  <conditionalFormatting sqref="H5:M104">
    <cfRule type="cellIs" dxfId="3" priority="2" operator="greaterThan">
      <formula>90</formula>
    </cfRule>
    <cfRule type="cellIs" dxfId="2" priority="3" operator="lessThan">
      <formula>30</formula>
    </cfRule>
  </conditionalFormatting>
  <conditionalFormatting sqref="O5:O10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104">
    <cfRule type="dataBar" priority="4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{57DDB416-9994-4CE1-938F-7DD6F01B8A89}</x14:id>
        </ext>
      </extLst>
    </cfRule>
  </conditionalFormatting>
  <conditionalFormatting sqref="Q5:Q104">
    <cfRule type="expression" dxfId="1" priority="5">
      <formula>$Q5="Fail"</formula>
    </cfRule>
    <cfRule type="expression" dxfId="0" priority="6">
      <formula>$Q5="Pass"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DB416-9994-4CE1-938F-7DD6F01B8A8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P5:P104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A9D8F"/>
    <pageSetUpPr fitToPage="1"/>
  </sheetPr>
  <dimension ref="A1:N31"/>
  <sheetViews>
    <sheetView showGridLines="0" zoomScaleNormal="100" workbookViewId="0">
      <selection sqref="A1:N1"/>
    </sheetView>
  </sheetViews>
  <sheetFormatPr defaultColWidth="8.6640625" defaultRowHeight="15" customHeight="1" x14ac:dyDescent="0.3"/>
  <cols>
    <col min="1" max="1" width="24" customWidth="1"/>
    <col min="2" max="2" width="20" customWidth="1"/>
    <col min="3" max="3" width="12" customWidth="1"/>
    <col min="4" max="4" width="3" customWidth="1"/>
  </cols>
  <sheetData>
    <row r="1" spans="1:14" ht="36" customHeight="1" x14ac:dyDescent="0.3">
      <c r="A1" s="76" t="s">
        <v>533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</row>
    <row r="3" spans="1:14" ht="15" customHeight="1" x14ac:dyDescent="0.3">
      <c r="A3" s="41" t="s">
        <v>15</v>
      </c>
      <c r="B3" s="41" t="s">
        <v>534</v>
      </c>
      <c r="C3" s="41" t="s">
        <v>535</v>
      </c>
    </row>
    <row r="4" spans="1:14" ht="15" customHeight="1" x14ac:dyDescent="0.3">
      <c r="A4" s="42" t="s">
        <v>32</v>
      </c>
      <c r="B4" s="43">
        <f>COUNTIF(Students!$E$5:$E$104,A4)</f>
        <v>10</v>
      </c>
      <c r="C4" s="44">
        <f t="shared" ref="C4:C18" si="0">B4/$B$19</f>
        <v>0.1</v>
      </c>
    </row>
    <row r="5" spans="1:14" ht="15" customHeight="1" x14ac:dyDescent="0.3">
      <c r="A5" s="45" t="s">
        <v>25</v>
      </c>
      <c r="B5" s="46">
        <f>COUNTIF(Students!$E$5:$E$104,A5)</f>
        <v>9</v>
      </c>
      <c r="C5" s="47">
        <f t="shared" si="0"/>
        <v>0.09</v>
      </c>
    </row>
    <row r="6" spans="1:14" ht="15" customHeight="1" x14ac:dyDescent="0.3">
      <c r="A6" s="42" t="s">
        <v>27</v>
      </c>
      <c r="B6" s="43">
        <f>COUNTIF(Students!$E$5:$E$104,A6)</f>
        <v>8</v>
      </c>
      <c r="C6" s="44">
        <f t="shared" si="0"/>
        <v>0.08</v>
      </c>
    </row>
    <row r="7" spans="1:14" ht="15" customHeight="1" x14ac:dyDescent="0.3">
      <c r="A7" s="45" t="s">
        <v>36</v>
      </c>
      <c r="B7" s="46">
        <f>COUNTIF(Students!$E$5:$E$104,A7)</f>
        <v>8</v>
      </c>
      <c r="C7" s="47">
        <f t="shared" si="0"/>
        <v>0.08</v>
      </c>
    </row>
    <row r="8" spans="1:14" ht="15" customHeight="1" x14ac:dyDescent="0.3">
      <c r="A8" s="42" t="s">
        <v>21</v>
      </c>
      <c r="B8" s="43">
        <f>COUNTIF(Students!$E$5:$E$104,A8)</f>
        <v>7</v>
      </c>
      <c r="C8" s="44">
        <f t="shared" si="0"/>
        <v>7.0000000000000007E-2</v>
      </c>
    </row>
    <row r="9" spans="1:14" ht="15" customHeight="1" x14ac:dyDescent="0.3">
      <c r="A9" s="45" t="s">
        <v>29</v>
      </c>
      <c r="B9" s="46">
        <f>COUNTIF(Students!$E$5:$E$104,A9)</f>
        <v>7</v>
      </c>
      <c r="C9" s="47">
        <f t="shared" si="0"/>
        <v>7.0000000000000007E-2</v>
      </c>
    </row>
    <row r="10" spans="1:14" ht="15" customHeight="1" x14ac:dyDescent="0.3">
      <c r="A10" s="42" t="s">
        <v>33</v>
      </c>
      <c r="B10" s="43">
        <f>COUNTIF(Students!$E$5:$E$104,A10)</f>
        <v>7</v>
      </c>
      <c r="C10" s="44">
        <f t="shared" si="0"/>
        <v>7.0000000000000007E-2</v>
      </c>
    </row>
    <row r="11" spans="1:14" ht="15" customHeight="1" x14ac:dyDescent="0.3">
      <c r="A11" s="45" t="s">
        <v>34</v>
      </c>
      <c r="B11" s="46">
        <f>COUNTIF(Students!$E$5:$E$104,A11)</f>
        <v>7</v>
      </c>
      <c r="C11" s="47">
        <f t="shared" si="0"/>
        <v>7.0000000000000007E-2</v>
      </c>
    </row>
    <row r="12" spans="1:14" ht="15" customHeight="1" x14ac:dyDescent="0.3">
      <c r="A12" s="42" t="s">
        <v>23</v>
      </c>
      <c r="B12" s="43">
        <f>COUNTIF(Students!$E$5:$E$104,A12)</f>
        <v>6</v>
      </c>
      <c r="C12" s="44">
        <f t="shared" si="0"/>
        <v>0.06</v>
      </c>
    </row>
    <row r="13" spans="1:14" ht="15" customHeight="1" x14ac:dyDescent="0.3">
      <c r="A13" s="45" t="s">
        <v>30</v>
      </c>
      <c r="B13" s="46">
        <f>COUNTIF(Students!$E$5:$E$104,A13)</f>
        <v>6</v>
      </c>
      <c r="C13" s="47">
        <f t="shared" si="0"/>
        <v>0.06</v>
      </c>
    </row>
    <row r="14" spans="1:14" ht="15" customHeight="1" x14ac:dyDescent="0.3">
      <c r="A14" s="42" t="s">
        <v>31</v>
      </c>
      <c r="B14" s="43">
        <f>COUNTIF(Students!$E$5:$E$104,A14)</f>
        <v>6</v>
      </c>
      <c r="C14" s="44">
        <f t="shared" si="0"/>
        <v>0.06</v>
      </c>
    </row>
    <row r="15" spans="1:14" ht="15" customHeight="1" x14ac:dyDescent="0.3">
      <c r="A15" s="45" t="s">
        <v>38</v>
      </c>
      <c r="B15" s="46">
        <f>COUNTIF(Students!$E$5:$E$104,A15)</f>
        <v>6</v>
      </c>
      <c r="C15" s="47">
        <f t="shared" si="0"/>
        <v>0.06</v>
      </c>
    </row>
    <row r="16" spans="1:14" ht="15" customHeight="1" x14ac:dyDescent="0.3">
      <c r="A16" s="42" t="s">
        <v>37</v>
      </c>
      <c r="B16" s="43">
        <f>COUNTIF(Students!$E$5:$E$104,A16)</f>
        <v>5</v>
      </c>
      <c r="C16" s="44">
        <f t="shared" si="0"/>
        <v>0.05</v>
      </c>
    </row>
    <row r="17" spans="1:3" ht="15" customHeight="1" x14ac:dyDescent="0.3">
      <c r="A17" s="45" t="s">
        <v>18</v>
      </c>
      <c r="B17" s="46">
        <f>COUNTIF(Students!$E$5:$E$104,A17)</f>
        <v>4</v>
      </c>
      <c r="C17" s="47">
        <f t="shared" si="0"/>
        <v>0.04</v>
      </c>
    </row>
    <row r="18" spans="1:3" ht="15" customHeight="1" x14ac:dyDescent="0.3">
      <c r="A18" s="42" t="s">
        <v>35</v>
      </c>
      <c r="B18" s="43">
        <f>COUNTIF(Students!$E$5:$E$104,A18)</f>
        <v>4</v>
      </c>
      <c r="C18" s="44">
        <f t="shared" si="0"/>
        <v>0.04</v>
      </c>
    </row>
    <row r="19" spans="1:3" ht="15" customHeight="1" x14ac:dyDescent="0.3">
      <c r="A19" s="48" t="s">
        <v>53</v>
      </c>
      <c r="B19" s="49">
        <f>SUM(B4:B18)</f>
        <v>100</v>
      </c>
      <c r="C19" s="50">
        <f>SUM(C4:C18)</f>
        <v>1.0000000000000004</v>
      </c>
    </row>
    <row r="21" spans="1:3" ht="15" customHeight="1" x14ac:dyDescent="0.3">
      <c r="A21" s="51" t="s">
        <v>536</v>
      </c>
    </row>
    <row r="22" spans="1:3" ht="15" customHeight="1" x14ac:dyDescent="0.3">
      <c r="A22" s="41" t="s">
        <v>15</v>
      </c>
      <c r="B22" s="41" t="s">
        <v>14</v>
      </c>
    </row>
    <row r="23" spans="1:3" ht="15" customHeight="1" x14ac:dyDescent="0.3">
      <c r="A23" s="42" t="str">
        <f t="shared" ref="A23:B30" si="1">A4</f>
        <v>Lucknow</v>
      </c>
      <c r="B23" s="43">
        <f t="shared" si="1"/>
        <v>10</v>
      </c>
    </row>
    <row r="24" spans="1:3" ht="15" customHeight="1" x14ac:dyDescent="0.3">
      <c r="A24" s="42" t="str">
        <f t="shared" si="1"/>
        <v>Bareilly</v>
      </c>
      <c r="B24" s="43">
        <f t="shared" si="1"/>
        <v>9</v>
      </c>
    </row>
    <row r="25" spans="1:3" ht="15" customHeight="1" x14ac:dyDescent="0.3">
      <c r="A25" s="42" t="str">
        <f t="shared" si="1"/>
        <v>Gorakhpur</v>
      </c>
      <c r="B25" s="43">
        <f t="shared" si="1"/>
        <v>8</v>
      </c>
    </row>
    <row r="26" spans="1:3" ht="15" customHeight="1" x14ac:dyDescent="0.3">
      <c r="A26" s="42" t="str">
        <f t="shared" si="1"/>
        <v>Shahjahanpur</v>
      </c>
      <c r="B26" s="43">
        <f t="shared" si="1"/>
        <v>8</v>
      </c>
    </row>
    <row r="27" spans="1:3" ht="15" customHeight="1" x14ac:dyDescent="0.3">
      <c r="A27" s="42" t="str">
        <f t="shared" si="1"/>
        <v>Allahabad</v>
      </c>
      <c r="B27" s="43">
        <f t="shared" si="1"/>
        <v>7</v>
      </c>
    </row>
    <row r="28" spans="1:3" ht="15" customHeight="1" x14ac:dyDescent="0.3">
      <c r="A28" s="42" t="str">
        <f t="shared" si="1"/>
        <v>Hardoi</v>
      </c>
      <c r="B28" s="43">
        <f t="shared" si="1"/>
        <v>7</v>
      </c>
    </row>
    <row r="29" spans="1:3" ht="15" customHeight="1" x14ac:dyDescent="0.3">
      <c r="A29" s="42" t="str">
        <f t="shared" si="1"/>
        <v>Meerut</v>
      </c>
      <c r="B29" s="43">
        <f t="shared" si="1"/>
        <v>7</v>
      </c>
    </row>
    <row r="30" spans="1:3" ht="15" customHeight="1" x14ac:dyDescent="0.3">
      <c r="A30" s="42" t="str">
        <f t="shared" si="1"/>
        <v>Moradabad</v>
      </c>
      <c r="B30" s="43">
        <f t="shared" si="1"/>
        <v>7</v>
      </c>
    </row>
    <row r="31" spans="1:3" ht="15" customHeight="1" x14ac:dyDescent="0.3">
      <c r="A31" s="42" t="str">
        <f>"Other cities ("&amp;(COUNTA(A4:A18)-8)&amp;")"</f>
        <v>Other cities (7)</v>
      </c>
      <c r="B31" s="43">
        <f>B19-SUM(B23:B30)</f>
        <v>37</v>
      </c>
    </row>
  </sheetData>
  <mergeCells count="1">
    <mergeCell ref="A1:N1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  <pageSetUpPr fitToPage="1"/>
  </sheetPr>
  <dimension ref="A1:L14"/>
  <sheetViews>
    <sheetView showGridLines="0" zoomScaleNormal="100" workbookViewId="0">
      <selection sqref="A1:L1"/>
    </sheetView>
  </sheetViews>
  <sheetFormatPr defaultColWidth="8.6640625" defaultRowHeight="15" customHeight="1" x14ac:dyDescent="0.3"/>
  <cols>
    <col min="1" max="1" width="28" customWidth="1"/>
    <col min="2" max="2" width="20" customWidth="1"/>
    <col min="3" max="3" width="12" customWidth="1"/>
    <col min="4" max="4" width="3" customWidth="1"/>
  </cols>
  <sheetData>
    <row r="1" spans="1:12" ht="36" customHeight="1" x14ac:dyDescent="0.3">
      <c r="A1" s="77" t="s">
        <v>537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3" spans="1:12" ht="15" customHeight="1" x14ac:dyDescent="0.3">
      <c r="A3" s="52" t="s">
        <v>538</v>
      </c>
      <c r="B3" s="52" t="s">
        <v>534</v>
      </c>
      <c r="C3" s="52" t="s">
        <v>535</v>
      </c>
    </row>
    <row r="4" spans="1:12" ht="15" customHeight="1" x14ac:dyDescent="0.3">
      <c r="A4" s="42" t="s">
        <v>539</v>
      </c>
      <c r="B4" s="43">
        <f>COUNTIF(Students!$P$5:$P$104,"&lt;0.3")</f>
        <v>9</v>
      </c>
      <c r="C4" s="44">
        <f>B4/$B$8</f>
        <v>0.09</v>
      </c>
    </row>
    <row r="5" spans="1:12" ht="15" customHeight="1" x14ac:dyDescent="0.3">
      <c r="A5" s="53" t="s">
        <v>540</v>
      </c>
      <c r="B5" s="54">
        <f>COUNTIFS(Students!$P$5:$P$104,"&gt;=0.3",Students!$P$5:$P$104,"&lt;0.5")</f>
        <v>2</v>
      </c>
      <c r="C5" s="55">
        <f>B5/$B$8</f>
        <v>0.02</v>
      </c>
    </row>
    <row r="6" spans="1:12" ht="15" customHeight="1" x14ac:dyDescent="0.3">
      <c r="A6" s="42" t="s">
        <v>541</v>
      </c>
      <c r="B6" s="43">
        <f>COUNTIFS(Students!$P$5:$P$104,"&gt;=0.5",Students!$P$5:$P$104,"&lt;0.7")</f>
        <v>57</v>
      </c>
      <c r="C6" s="44">
        <f>B6/$B$8</f>
        <v>0.56999999999999995</v>
      </c>
    </row>
    <row r="7" spans="1:12" ht="15" customHeight="1" x14ac:dyDescent="0.3">
      <c r="A7" s="53" t="s">
        <v>542</v>
      </c>
      <c r="B7" s="54">
        <f>COUNTIF(Students!$P$5:$P$104,"&gt;=0.7")</f>
        <v>32</v>
      </c>
      <c r="C7" s="55">
        <f>B7/$B$8</f>
        <v>0.32</v>
      </c>
    </row>
    <row r="8" spans="1:12" ht="15" customHeight="1" x14ac:dyDescent="0.3">
      <c r="A8" s="48" t="s">
        <v>53</v>
      </c>
      <c r="B8" s="49">
        <f>SUM(B4:B7)</f>
        <v>100</v>
      </c>
      <c r="C8" s="50">
        <f>SUM(C4:C7)</f>
        <v>1</v>
      </c>
    </row>
    <row r="10" spans="1:12" ht="15" customHeight="1" x14ac:dyDescent="0.3">
      <c r="A10" s="56" t="s">
        <v>13</v>
      </c>
      <c r="B10" s="56" t="s">
        <v>534</v>
      </c>
      <c r="C10" s="56" t="s">
        <v>535</v>
      </c>
    </row>
    <row r="11" spans="1:12" ht="15" customHeight="1" x14ac:dyDescent="0.3">
      <c r="A11" s="57" t="s">
        <v>17</v>
      </c>
      <c r="B11" s="58">
        <f>COUNTIF(Students!$Q$5:$Q$104,"Pass")</f>
        <v>91</v>
      </c>
      <c r="C11" s="59">
        <f>B11/$B$8</f>
        <v>0.91</v>
      </c>
    </row>
    <row r="12" spans="1:12" ht="15" customHeight="1" x14ac:dyDescent="0.3">
      <c r="A12" s="60" t="s">
        <v>20</v>
      </c>
      <c r="B12" s="61">
        <f>COUNTIF(Students!$Q$5:$Q$104,"Fail")</f>
        <v>9</v>
      </c>
      <c r="C12" s="62">
        <f>B12/$B$8</f>
        <v>0.09</v>
      </c>
    </row>
    <row r="14" spans="1:12" ht="15" customHeight="1" x14ac:dyDescent="0.3">
      <c r="A14" s="51" t="s">
        <v>543</v>
      </c>
    </row>
  </sheetData>
  <mergeCells count="1">
    <mergeCell ref="A1:L1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4C9F"/>
    <pageSetUpPr fitToPage="1"/>
  </sheetPr>
  <dimension ref="A1:N12"/>
  <sheetViews>
    <sheetView showGridLines="0" zoomScaleNormal="100" workbookViewId="0">
      <selection sqref="A1:N1"/>
    </sheetView>
  </sheetViews>
  <sheetFormatPr defaultColWidth="8.6640625" defaultRowHeight="15" customHeight="1" x14ac:dyDescent="0.3"/>
  <cols>
    <col min="1" max="1" width="18" customWidth="1"/>
    <col min="2" max="3" width="16" customWidth="1"/>
    <col min="4" max="5" width="12" customWidth="1"/>
    <col min="6" max="6" width="3" customWidth="1"/>
  </cols>
  <sheetData>
    <row r="1" spans="1:14" ht="36" customHeight="1" x14ac:dyDescent="0.3">
      <c r="A1" s="78" t="s">
        <v>544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3" spans="1:14" ht="15" customHeight="1" x14ac:dyDescent="0.3">
      <c r="A3" s="63" t="s">
        <v>9</v>
      </c>
      <c r="B3" s="63" t="s">
        <v>545</v>
      </c>
      <c r="C3" s="63" t="s">
        <v>546</v>
      </c>
      <c r="D3" s="63" t="s">
        <v>547</v>
      </c>
      <c r="E3" s="63" t="s">
        <v>548</v>
      </c>
    </row>
    <row r="4" spans="1:14" ht="19.5" customHeight="1" x14ac:dyDescent="0.3">
      <c r="A4" s="64" t="s">
        <v>16</v>
      </c>
      <c r="B4" s="43">
        <f>COUNTIF(Students!$H$5:$H$104,"&gt;=30")</f>
        <v>95</v>
      </c>
      <c r="C4" s="43">
        <f>COUNTIF(Students!$H$5:$H$104,"&lt;30")</f>
        <v>5</v>
      </c>
      <c r="D4" s="65">
        <f t="shared" ref="D4:D9" si="0">B4/(B4+C4)</f>
        <v>0.95</v>
      </c>
      <c r="E4" s="62">
        <f t="shared" ref="E4:E9" si="1">C4/(B4+C4)</f>
        <v>0.05</v>
      </c>
    </row>
    <row r="5" spans="1:14" ht="19.5" customHeight="1" x14ac:dyDescent="0.3">
      <c r="A5" s="66" t="s">
        <v>19</v>
      </c>
      <c r="B5" s="43">
        <f>COUNTIF(Students!$I$5:$I$104,"&gt;=30")</f>
        <v>92</v>
      </c>
      <c r="C5" s="43">
        <f>COUNTIF(Students!$I$5:$I$104,"&lt;30")</f>
        <v>8</v>
      </c>
      <c r="D5" s="65">
        <f t="shared" si="0"/>
        <v>0.92</v>
      </c>
      <c r="E5" s="62">
        <f t="shared" si="1"/>
        <v>0.08</v>
      </c>
    </row>
    <row r="6" spans="1:14" ht="19.5" customHeight="1" x14ac:dyDescent="0.3">
      <c r="A6" s="67" t="s">
        <v>22</v>
      </c>
      <c r="B6" s="43">
        <f>COUNTIF(Students!$J$5:$J$104,"&gt;=30")</f>
        <v>92</v>
      </c>
      <c r="C6" s="43">
        <f>COUNTIF(Students!$J$5:$J$104,"&lt;30")</f>
        <v>8</v>
      </c>
      <c r="D6" s="65">
        <f t="shared" si="0"/>
        <v>0.92</v>
      </c>
      <c r="E6" s="62">
        <f t="shared" si="1"/>
        <v>0.08</v>
      </c>
    </row>
    <row r="7" spans="1:14" ht="19.5" customHeight="1" x14ac:dyDescent="0.3">
      <c r="A7" s="68" t="s">
        <v>24</v>
      </c>
      <c r="B7" s="43">
        <f>COUNTIF(Students!$K$5:$K$104,"&gt;=30")</f>
        <v>96</v>
      </c>
      <c r="C7" s="43">
        <f>COUNTIF(Students!$K$5:$K$104,"&lt;30")</f>
        <v>4</v>
      </c>
      <c r="D7" s="65">
        <f t="shared" si="0"/>
        <v>0.96</v>
      </c>
      <c r="E7" s="62">
        <f t="shared" si="1"/>
        <v>0.04</v>
      </c>
    </row>
    <row r="8" spans="1:14" ht="19.5" customHeight="1" x14ac:dyDescent="0.3">
      <c r="A8" s="69" t="s">
        <v>26</v>
      </c>
      <c r="B8" s="43">
        <f>COUNTIF(Students!$L$5:$L$104,"&gt;=30")</f>
        <v>96</v>
      </c>
      <c r="C8" s="43">
        <f>COUNTIF(Students!$L$5:$L$104,"&lt;30")</f>
        <v>4</v>
      </c>
      <c r="D8" s="65">
        <f t="shared" si="0"/>
        <v>0.96</v>
      </c>
      <c r="E8" s="62">
        <f t="shared" si="1"/>
        <v>0.04</v>
      </c>
    </row>
    <row r="9" spans="1:14" ht="19.5" customHeight="1" x14ac:dyDescent="0.3">
      <c r="A9" s="70" t="s">
        <v>28</v>
      </c>
      <c r="B9" s="43">
        <f>COUNTIF(Students!$M$5:$M$104,"&gt;=30")</f>
        <v>93</v>
      </c>
      <c r="C9" s="43">
        <f>COUNTIF(Students!$M$5:$M$104,"&lt;30")</f>
        <v>7</v>
      </c>
      <c r="D9" s="65">
        <f t="shared" si="0"/>
        <v>0.93</v>
      </c>
      <c r="E9" s="62">
        <f t="shared" si="1"/>
        <v>7.0000000000000007E-2</v>
      </c>
    </row>
    <row r="11" spans="1:14" ht="15" customHeight="1" x14ac:dyDescent="0.3">
      <c r="A11" s="51" t="s">
        <v>549</v>
      </c>
    </row>
    <row r="12" spans="1:14" ht="15" customHeight="1" x14ac:dyDescent="0.3">
      <c r="A12" s="51" t="s">
        <v>550</v>
      </c>
    </row>
  </sheetData>
  <mergeCells count="1">
    <mergeCell ref="A1:N1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8860B"/>
    <pageSetUpPr fitToPage="1"/>
  </sheetPr>
  <dimension ref="B1:H23"/>
  <sheetViews>
    <sheetView showGridLines="0" tabSelected="1" zoomScaleNormal="100" workbookViewId="0"/>
  </sheetViews>
  <sheetFormatPr defaultColWidth="8.6640625" defaultRowHeight="15" customHeight="1" x14ac:dyDescent="0.3"/>
  <cols>
    <col min="1" max="1" width="2" customWidth="1"/>
    <col min="2" max="4" width="22" customWidth="1"/>
    <col min="5" max="5" width="4" customWidth="1"/>
    <col min="6" max="8" width="22" customWidth="1"/>
  </cols>
  <sheetData>
    <row r="1" spans="2:8" ht="36" customHeight="1" x14ac:dyDescent="0.3">
      <c r="B1" s="79" t="s">
        <v>551</v>
      </c>
      <c r="C1" s="79"/>
      <c r="D1" s="79"/>
      <c r="E1" s="79"/>
      <c r="F1" s="79"/>
      <c r="G1" s="79"/>
      <c r="H1" s="79"/>
    </row>
    <row r="2" spans="2:8" ht="9.75" customHeight="1" x14ac:dyDescent="0.3"/>
    <row r="3" spans="2:8" ht="79.5" customHeight="1" x14ac:dyDescent="0.3">
      <c r="B3" s="71" t="s">
        <v>552</v>
      </c>
      <c r="C3" s="72" t="s">
        <v>553</v>
      </c>
      <c r="D3" s="73" t="s">
        <v>554</v>
      </c>
      <c r="F3" s="71" t="s">
        <v>552</v>
      </c>
      <c r="G3" s="72" t="s">
        <v>553</v>
      </c>
      <c r="H3" s="73" t="s">
        <v>554</v>
      </c>
    </row>
    <row r="4" spans="2:8" ht="24" customHeight="1" x14ac:dyDescent="0.3">
      <c r="B4" s="74" t="str">
        <f>INDEX(Students!$B$5:$B$104,SUMPRODUCT(SMALL((ROW(Students!$N$5:$N$104)-4)+(Students!$N$5:$N$104&lt;&gt;LARGE(Students!$N$5:$N$104,1))*1000,1-COUNTIF(Students!$N$5:$N$104,"&gt;"&amp;LARGE(Students!$N$5:$N$104,1)))))</f>
        <v>Shruti Bajpai</v>
      </c>
      <c r="C4" s="74" t="str">
        <f>INDEX(Students!$B$5:$B$104,SUMPRODUCT(SMALL((ROW(Students!$N$5:$N$104)-4)+(Students!$N$5:$N$104&lt;&gt;LARGE(Students!$N$5:$N$104,2))*1000,2-COUNTIF(Students!$N$5:$N$104,"&gt;"&amp;LARGE(Students!$N$5:$N$104,2)))))</f>
        <v>Simran Saxena</v>
      </c>
      <c r="D4" s="74" t="str">
        <f>INDEX(Students!$B$5:$B$104,SUMPRODUCT(SMALL((ROW(Students!$N$5:$N$104)-4)+(Students!$N$5:$N$104&lt;&gt;LARGE(Students!$N$5:$N$104,3))*1000,3-COUNTIF(Students!$N$5:$N$104,"&gt;"&amp;LARGE(Students!$N$5:$N$104,3)))))</f>
        <v>Harsh Tiwari</v>
      </c>
      <c r="F4" s="74" t="str">
        <f>INDEX(Students!$B$5:$B$104,SUMPRODUCT(SMALL((ROW(Students!$H$5:$H$104)-4)+(Students!$H$5:$H$104&lt;&gt;LARGE(Students!$H$5:$H$104,1))*1000,1-COUNTIF(Students!$H$5:$H$104,"&gt;"&amp;LARGE(Students!$H$5:$H$104,1)))))</f>
        <v>Megha Maurya</v>
      </c>
      <c r="G4" s="74" t="str">
        <f>INDEX(Students!$B$5:$B$104,SUMPRODUCT(SMALL((ROW(Students!$H$5:$H$104)-4)+(Students!$H$5:$H$104&lt;&gt;LARGE(Students!$H$5:$H$104,2))*1000,2-COUNTIF(Students!$H$5:$H$104,"&gt;"&amp;LARGE(Students!$H$5:$H$104,2)))))</f>
        <v>Megha Pandey</v>
      </c>
      <c r="H4" s="74" t="str">
        <f>INDEX(Students!$B$5:$B$104,SUMPRODUCT(SMALL((ROW(Students!$H$5:$H$104)-4)+(Students!$H$5:$H$104&lt;&gt;LARGE(Students!$H$5:$H$104,3))*1000,3-COUNTIF(Students!$H$5:$H$104,"&gt;"&amp;LARGE(Students!$H$5:$H$104,3)))))</f>
        <v>Isha Maurya</v>
      </c>
    </row>
    <row r="5" spans="2:8" ht="19.5" customHeight="1" x14ac:dyDescent="0.3">
      <c r="B5" s="75" t="str">
        <f>"Total: "&amp;LARGE(Students!$N$5:$N$104,1)&amp;"/600"</f>
        <v>Total: 497/600</v>
      </c>
      <c r="C5" s="75" t="str">
        <f>"Total: "&amp;LARGE(Students!$N$5:$N$104,2)&amp;"/600"</f>
        <v>Total: 483/600</v>
      </c>
      <c r="D5" s="75" t="str">
        <f>"Total: "&amp;LARGE(Students!$N$5:$N$104,3)&amp;"/600"</f>
        <v>Total: 482/600</v>
      </c>
      <c r="F5" s="75" t="str">
        <f>"Marks: "&amp;LARGE(Students!$H$5:$H$104,1)&amp;""</f>
        <v>Marks: 98</v>
      </c>
      <c r="G5" s="75" t="str">
        <f>"Marks: "&amp;LARGE(Students!$H$5:$H$104,2)&amp;""</f>
        <v>Marks: 98</v>
      </c>
      <c r="H5" s="75" t="str">
        <f>"Marks: "&amp;LARGE(Students!$H$5:$H$104,3)&amp;""</f>
        <v>Marks: 98</v>
      </c>
    </row>
    <row r="6" spans="2:8" ht="25.5" customHeight="1" x14ac:dyDescent="0.3">
      <c r="B6" s="80" t="s">
        <v>555</v>
      </c>
      <c r="C6" s="80"/>
      <c r="D6" s="80"/>
      <c r="F6" s="81" t="s">
        <v>16</v>
      </c>
      <c r="G6" s="81"/>
      <c r="H6" s="81"/>
    </row>
    <row r="7" spans="2:8" ht="15.75" customHeight="1" x14ac:dyDescent="0.3"/>
    <row r="8" spans="2:8" ht="79.5" customHeight="1" x14ac:dyDescent="0.3">
      <c r="B8" s="71" t="s">
        <v>552</v>
      </c>
      <c r="C8" s="72" t="s">
        <v>553</v>
      </c>
      <c r="D8" s="73" t="s">
        <v>554</v>
      </c>
      <c r="F8" s="71" t="s">
        <v>552</v>
      </c>
      <c r="G8" s="72" t="s">
        <v>553</v>
      </c>
      <c r="H8" s="73" t="s">
        <v>554</v>
      </c>
    </row>
    <row r="9" spans="2:8" ht="24" customHeight="1" x14ac:dyDescent="0.3">
      <c r="B9" s="74" t="str">
        <f>INDEX(Students!$B$5:$B$104,SUMPRODUCT(SMALL((ROW(Students!$I$5:$I$104)-4)+(Students!$I$5:$I$104&lt;&gt;LARGE(Students!$I$5:$I$104,1))*1000,1-COUNTIF(Students!$I$5:$I$104,"&gt;"&amp;LARGE(Students!$I$5:$I$104,1)))))</f>
        <v>Aarti Mishra</v>
      </c>
      <c r="C9" s="74" t="str">
        <f>INDEX(Students!$B$5:$B$104,SUMPRODUCT(SMALL((ROW(Students!$I$5:$I$104)-4)+(Students!$I$5:$I$104&lt;&gt;LARGE(Students!$I$5:$I$104,2))*1000,2-COUNTIF(Students!$I$5:$I$104,"&gt;"&amp;LARGE(Students!$I$5:$I$104,2)))))</f>
        <v>Shruti Bajpai</v>
      </c>
      <c r="D9" s="74" t="str">
        <f>INDEX(Students!$B$5:$B$104,SUMPRODUCT(SMALL((ROW(Students!$I$5:$I$104)-4)+(Students!$I$5:$I$104&lt;&gt;LARGE(Students!$I$5:$I$104,3))*1000,3-COUNTIF(Students!$I$5:$I$104,"&gt;"&amp;LARGE(Students!$I$5:$I$104,3)))))</f>
        <v>Manish Saxena</v>
      </c>
      <c r="F9" s="74" t="str">
        <f>INDEX(Students!$B$5:$B$104,SUMPRODUCT(SMALL((ROW(Students!$J$5:$J$104)-4)+(Students!$J$5:$J$104&lt;&gt;LARGE(Students!$J$5:$J$104,1))*1000,1-COUNTIF(Students!$J$5:$J$104,"&gt;"&amp;LARGE(Students!$J$5:$J$104,1)))))</f>
        <v>Shivam Bajpai</v>
      </c>
      <c r="G9" s="74" t="str">
        <f>INDEX(Students!$B$5:$B$104,SUMPRODUCT(SMALL((ROW(Students!$J$5:$J$104)-4)+(Students!$J$5:$J$104&lt;&gt;LARGE(Students!$J$5:$J$104,2))*1000,2-COUNTIF(Students!$J$5:$J$104,"&gt;"&amp;LARGE(Students!$J$5:$J$104,2)))))</f>
        <v>Vikram Rathore</v>
      </c>
      <c r="H9" s="74" t="str">
        <f>INDEX(Students!$B$5:$B$104,SUMPRODUCT(SMALL((ROW(Students!$J$5:$J$104)-4)+(Students!$J$5:$J$104&lt;&gt;LARGE(Students!$J$5:$J$104,3))*1000,3-COUNTIF(Students!$J$5:$J$104,"&gt;"&amp;LARGE(Students!$J$5:$J$104,3)))))</f>
        <v>Aarav Chauhan</v>
      </c>
    </row>
    <row r="10" spans="2:8" ht="19.5" customHeight="1" x14ac:dyDescent="0.3">
      <c r="B10" s="75" t="str">
        <f>"Marks: "&amp;LARGE(Students!$I$5:$I$104,1)&amp;""</f>
        <v>Marks: 97</v>
      </c>
      <c r="C10" s="75" t="str">
        <f>"Marks: "&amp;LARGE(Students!$I$5:$I$104,2)&amp;""</f>
        <v>Marks: 97</v>
      </c>
      <c r="D10" s="75" t="str">
        <f>"Marks: "&amp;LARGE(Students!$I$5:$I$104,3)&amp;""</f>
        <v>Marks: 96</v>
      </c>
      <c r="F10" s="75" t="str">
        <f>"Marks: "&amp;LARGE(Students!$J$5:$J$104,1)&amp;""</f>
        <v>Marks: 98</v>
      </c>
      <c r="G10" s="75" t="str">
        <f>"Marks: "&amp;LARGE(Students!$J$5:$J$104,2)&amp;""</f>
        <v>Marks: 97</v>
      </c>
      <c r="H10" s="75" t="str">
        <f>"Marks: "&amp;LARGE(Students!$J$5:$J$104,3)&amp;""</f>
        <v>Marks: 96</v>
      </c>
    </row>
    <row r="11" spans="2:8" ht="25.5" customHeight="1" x14ac:dyDescent="0.3">
      <c r="B11" s="81" t="s">
        <v>19</v>
      </c>
      <c r="C11" s="81"/>
      <c r="D11" s="81"/>
      <c r="F11" s="81" t="s">
        <v>22</v>
      </c>
      <c r="G11" s="81"/>
      <c r="H11" s="81"/>
    </row>
    <row r="12" spans="2:8" ht="15.75" customHeight="1" x14ac:dyDescent="0.3"/>
    <row r="13" spans="2:8" ht="79.5" customHeight="1" x14ac:dyDescent="0.3">
      <c r="B13" s="71" t="s">
        <v>552</v>
      </c>
      <c r="C13" s="72" t="s">
        <v>553</v>
      </c>
      <c r="D13" s="73" t="s">
        <v>554</v>
      </c>
      <c r="F13" s="71" t="s">
        <v>552</v>
      </c>
      <c r="G13" s="72" t="s">
        <v>553</v>
      </c>
      <c r="H13" s="73" t="s">
        <v>554</v>
      </c>
    </row>
    <row r="14" spans="2:8" ht="24" customHeight="1" x14ac:dyDescent="0.3">
      <c r="B14" s="74" t="str">
        <f>INDEX(Students!$B$5:$B$104,SUMPRODUCT(SMALL((ROW(Students!$K$5:$K$104)-4)+(Students!$K$5:$K$104&lt;&gt;LARGE(Students!$K$5:$K$104,1))*1000,1-COUNTIF(Students!$K$5:$K$104,"&gt;"&amp;LARGE(Students!$K$5:$K$104,1)))))</f>
        <v>Ritu Kumar</v>
      </c>
      <c r="C14" s="74" t="str">
        <f>INDEX(Students!$B$5:$B$104,SUMPRODUCT(SMALL((ROW(Students!$K$5:$K$104)-4)+(Students!$K$5:$K$104&lt;&gt;LARGE(Students!$K$5:$K$104,2))*1000,2-COUNTIF(Students!$K$5:$K$104,"&gt;"&amp;LARGE(Students!$K$5:$K$104,2)))))</f>
        <v>Vivaan Tiwari</v>
      </c>
      <c r="D14" s="74" t="str">
        <f>INDEX(Students!$B$5:$B$104,SUMPRODUCT(SMALL((ROW(Students!$K$5:$K$104)-4)+(Students!$K$5:$K$104&lt;&gt;LARGE(Students!$K$5:$K$104,3))*1000,3-COUNTIF(Students!$K$5:$K$104,"&gt;"&amp;LARGE(Students!$K$5:$K$104,3)))))</f>
        <v>Sachin Yadav</v>
      </c>
      <c r="F14" s="74" t="str">
        <f>INDEX(Students!$B$5:$B$104,SUMPRODUCT(SMALL((ROW(Students!$L$5:$L$104)-4)+(Students!$L$5:$L$104&lt;&gt;LARGE(Students!$L$5:$L$104,1))*1000,1-COUNTIF(Students!$L$5:$L$104,"&gt;"&amp;LARGE(Students!$L$5:$L$104,1)))))</f>
        <v>Mohit Agarwal</v>
      </c>
      <c r="G14" s="74" t="str">
        <f>INDEX(Students!$B$5:$B$104,SUMPRODUCT(SMALL((ROW(Students!$L$5:$L$104)-4)+(Students!$L$5:$L$104&lt;&gt;LARGE(Students!$L$5:$L$104,2))*1000,2-COUNTIF(Students!$L$5:$L$104,"&gt;"&amp;LARGE(Students!$L$5:$L$104,2)))))</f>
        <v>Ajay Shukla</v>
      </c>
      <c r="H14" s="74" t="str">
        <f>INDEX(Students!$B$5:$B$104,SUMPRODUCT(SMALL((ROW(Students!$L$5:$L$104)-4)+(Students!$L$5:$L$104&lt;&gt;LARGE(Students!$L$5:$L$104,3))*1000,3-COUNTIF(Students!$L$5:$L$104,"&gt;"&amp;LARGE(Students!$L$5:$L$104,3)))))</f>
        <v>Aarti Maurya</v>
      </c>
    </row>
    <row r="15" spans="2:8" ht="19.5" customHeight="1" x14ac:dyDescent="0.3">
      <c r="B15" s="75" t="str">
        <f>"Marks: "&amp;LARGE(Students!$K$5:$K$104,1)&amp;""</f>
        <v>Marks: 98</v>
      </c>
      <c r="C15" s="75" t="str">
        <f>"Marks: "&amp;LARGE(Students!$K$5:$K$104,2)&amp;""</f>
        <v>Marks: 97</v>
      </c>
      <c r="D15" s="75" t="str">
        <f>"Marks: "&amp;LARGE(Students!$K$5:$K$104,3)&amp;""</f>
        <v>Marks: 97</v>
      </c>
      <c r="F15" s="75" t="str">
        <f>"Marks: "&amp;LARGE(Students!$L$5:$L$104,1)&amp;""</f>
        <v>Marks: 98</v>
      </c>
      <c r="G15" s="75" t="str">
        <f>"Marks: "&amp;LARGE(Students!$L$5:$L$104,2)&amp;""</f>
        <v>Marks: 98</v>
      </c>
      <c r="H15" s="75" t="str">
        <f>"Marks: "&amp;LARGE(Students!$L$5:$L$104,3)&amp;""</f>
        <v>Marks: 97</v>
      </c>
    </row>
    <row r="16" spans="2:8" ht="25.5" customHeight="1" x14ac:dyDescent="0.3">
      <c r="B16" s="81" t="s">
        <v>24</v>
      </c>
      <c r="C16" s="81"/>
      <c r="D16" s="81"/>
      <c r="F16" s="81" t="s">
        <v>26</v>
      </c>
      <c r="G16" s="81"/>
      <c r="H16" s="81"/>
    </row>
    <row r="17" spans="2:4" ht="15.75" customHeight="1" x14ac:dyDescent="0.3"/>
    <row r="18" spans="2:4" ht="79.5" customHeight="1" x14ac:dyDescent="0.3">
      <c r="B18" s="71" t="s">
        <v>552</v>
      </c>
      <c r="C18" s="72" t="s">
        <v>553</v>
      </c>
      <c r="D18" s="73" t="s">
        <v>554</v>
      </c>
    </row>
    <row r="19" spans="2:4" ht="24" customHeight="1" x14ac:dyDescent="0.3">
      <c r="B19" s="74" t="str">
        <f>INDEX(Students!$B$5:$B$104,SUMPRODUCT(SMALL((ROW(Students!$M$5:$M$104)-4)+(Students!$M$5:$M$104&lt;&gt;LARGE(Students!$M$5:$M$104,1))*1000,1-COUNTIF(Students!$M$5:$M$104,"&gt;"&amp;LARGE(Students!$M$5:$M$104,1)))))</f>
        <v>Rohan Kumar</v>
      </c>
      <c r="C19" s="74" t="str">
        <f>INDEX(Students!$B$5:$B$104,SUMPRODUCT(SMALL((ROW(Students!$M$5:$M$104)-4)+(Students!$M$5:$M$104&lt;&gt;LARGE(Students!$M$5:$M$104,2))*1000,2-COUNTIF(Students!$M$5:$M$104,"&gt;"&amp;LARGE(Students!$M$5:$M$104,2)))))</f>
        <v>Sachin Kumar</v>
      </c>
      <c r="D19" s="74" t="str">
        <f>INDEX(Students!$B$5:$B$104,SUMPRODUCT(SMALL((ROW(Students!$M$5:$M$104)-4)+(Students!$M$5:$M$104&lt;&gt;LARGE(Students!$M$5:$M$104,3))*1000,3-COUNTIF(Students!$M$5:$M$104,"&gt;"&amp;LARGE(Students!$M$5:$M$104,3)))))</f>
        <v>Muskan Saxena</v>
      </c>
    </row>
    <row r="20" spans="2:4" ht="19.5" customHeight="1" x14ac:dyDescent="0.3">
      <c r="B20" s="75" t="str">
        <f>"Marks: "&amp;LARGE(Students!$M$5:$M$104,1)&amp;""</f>
        <v>Marks: 98</v>
      </c>
      <c r="C20" s="75" t="str">
        <f>"Marks: "&amp;LARGE(Students!$M$5:$M$104,2)&amp;""</f>
        <v>Marks: 97</v>
      </c>
      <c r="D20" s="75" t="str">
        <f>"Marks: "&amp;LARGE(Students!$M$5:$M$104,3)&amp;""</f>
        <v>Marks: 97</v>
      </c>
    </row>
    <row r="21" spans="2:4" ht="25.5" customHeight="1" x14ac:dyDescent="0.3">
      <c r="B21" s="81" t="s">
        <v>28</v>
      </c>
      <c r="C21" s="81"/>
      <c r="D21" s="81"/>
    </row>
    <row r="22" spans="2:4" ht="15.75" customHeight="1" x14ac:dyDescent="0.3"/>
    <row r="23" spans="2:4" ht="15" customHeight="1" x14ac:dyDescent="0.3">
      <c r="B23" s="51" t="s">
        <v>556</v>
      </c>
    </row>
  </sheetData>
  <mergeCells count="8">
    <mergeCell ref="B16:D16"/>
    <mergeCell ref="F16:H16"/>
    <mergeCell ref="B21:D21"/>
    <mergeCell ref="B1:H1"/>
    <mergeCell ref="B6:D6"/>
    <mergeCell ref="F6:H6"/>
    <mergeCell ref="B11:D11"/>
    <mergeCell ref="F11:H1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Students</vt:lpstr>
      <vt:lpstr>City Chart</vt:lpstr>
      <vt:lpstr>Marks Chart</vt:lpstr>
      <vt:lpstr>Subject Pass-Fail</vt:lpstr>
      <vt:lpstr>Toppers</vt:lpstr>
      <vt:lpstr>Students!Print_Titles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 Pandey</cp:lastModifiedBy>
  <dcterms:modified xsi:type="dcterms:W3CDTF">2026-10-27T17:53:16Z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2026-10-27T10:34:39Z</dcterms:created>
  <dc:creator>openpyxl</dc:creator>
  <dc:description/>
  <dc:language>en-US</dc:language>
  <cp:lastModifiedBy/>
  <dcterms:modified xsi:type="dcterms:W3CDTF">2026-10-27T10:53:58Z</dcterms:modified>
  <cp:revision>1</cp:revision>
  <dc:subject/>
  <dc:title/>
</cp:coreProperties>
</file>